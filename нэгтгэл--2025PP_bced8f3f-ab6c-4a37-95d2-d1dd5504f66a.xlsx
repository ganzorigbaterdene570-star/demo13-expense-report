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demo13\"/>
    </mc:Choice>
  </mc:AlternateContent>
  <bookViews>
    <workbookView xWindow="0" yWindow="0" windowWidth="19200" windowHeight="5770" activeTab="11"/>
  </bookViews>
  <sheets>
    <sheet name="Нэгтгэл" sheetId="5" r:id="rId1"/>
    <sheet name="1" sheetId="2" r:id="rId2"/>
    <sheet name="2" sheetId="3" r:id="rId3"/>
    <sheet name="3" sheetId="4" r:id="rId4"/>
    <sheet name="4" sheetId="6" r:id="rId5"/>
    <sheet name="5" sheetId="7" r:id="rId6"/>
    <sheet name="6" sheetId="8" r:id="rId7"/>
    <sheet name="7" sheetId="9" r:id="rId8"/>
    <sheet name="8" sheetId="10" r:id="rId9"/>
    <sheet name="Sheet2" sheetId="17" state="hidden" r:id="rId10"/>
    <sheet name="9" sheetId="11" r:id="rId11"/>
    <sheet name="10" sheetId="12" r:id="rId12"/>
    <sheet name="11" sheetId="13" r:id="rId13"/>
    <sheet name="12" sheetId="14" r:id="rId14"/>
    <sheet name="Sheet10" sheetId="15" state="hidden" r:id="rId15"/>
    <sheet name="Sheet3" sheetId="18" state="hidden" r:id="rId16"/>
    <sheet name="Sheet1" sheetId="16" state="hidden" r:id="rId17"/>
  </sheets>
  <definedNames>
    <definedName name="_xlnm._FilterDatabase" localSheetId="5" hidden="1">'5'!$A$3:$AC$65</definedName>
    <definedName name="_xlnm._FilterDatabase" localSheetId="6" hidden="1">'6'!$A$3:$AC$68</definedName>
    <definedName name="_xlnm._FilterDatabase" localSheetId="7" hidden="1">'7'!$A$3:$AD$145</definedName>
    <definedName name="_xlnm._FilterDatabase" localSheetId="8" hidden="1">'8'!$A$3:$AD$260</definedName>
    <definedName name="_xlnm._FilterDatabase" localSheetId="16" hidden="1">Sheet1!$A$1:$AD$156</definedName>
    <definedName name="_xlnm._FilterDatabase" localSheetId="14" hidden="1">Sheet10!$A$1:$AD$172</definedName>
    <definedName name="_xlnm._FilterDatabase" localSheetId="9" hidden="1">Sheet2!$A$1:$AD$256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3" l="1"/>
  <c r="D4" i="3"/>
  <c r="F4" i="12" l="1"/>
  <c r="H4" i="12" s="1"/>
  <c r="I5" i="9"/>
  <c r="G4" i="12"/>
  <c r="L4" i="12"/>
  <c r="N4" i="12"/>
  <c r="Q4" i="12"/>
  <c r="S4" i="12"/>
  <c r="T4" i="12"/>
  <c r="U4" i="12"/>
  <c r="V4" i="12"/>
  <c r="W4" i="12"/>
  <c r="X4" i="12"/>
  <c r="Y4" i="12"/>
  <c r="Z4" i="12"/>
  <c r="AA4" i="12"/>
  <c r="D4" i="12"/>
  <c r="H4" i="10"/>
  <c r="AB29" i="12"/>
  <c r="AC29" i="12" s="1"/>
  <c r="AB30" i="12"/>
  <c r="AC30" i="12" s="1"/>
  <c r="AB31" i="12"/>
  <c r="AC31" i="12" s="1"/>
  <c r="AB32" i="12"/>
  <c r="AB33" i="12"/>
  <c r="AC33" i="12" s="1"/>
  <c r="AC32" i="12"/>
  <c r="I14" i="12"/>
  <c r="AB14" i="12" s="1"/>
  <c r="AC14" i="12" s="1"/>
  <c r="R9" i="12"/>
  <c r="I7" i="12"/>
  <c r="AB7" i="12" s="1"/>
  <c r="I8" i="12"/>
  <c r="AB8" i="12" s="1"/>
  <c r="J15" i="12"/>
  <c r="J4" i="12" s="1"/>
  <c r="E24" i="12"/>
  <c r="O24" i="12" s="1"/>
  <c r="AB24" i="12" s="1"/>
  <c r="AC24" i="12" s="1"/>
  <c r="E25" i="12"/>
  <c r="K25" i="12" s="1"/>
  <c r="AB25" i="12" s="1"/>
  <c r="AC25" i="12" s="1"/>
  <c r="E26" i="12"/>
  <c r="M26" i="12" s="1"/>
  <c r="E27" i="12"/>
  <c r="I27" i="12" s="1"/>
  <c r="AB27" i="12" s="1"/>
  <c r="AC27" i="12" s="1"/>
  <c r="E23" i="12"/>
  <c r="R23" i="12" s="1"/>
  <c r="AB23" i="12" s="1"/>
  <c r="AC23" i="12" s="1"/>
  <c r="E21" i="12"/>
  <c r="P21" i="12" s="1"/>
  <c r="AB21" i="12" s="1"/>
  <c r="AC21" i="12" s="1"/>
  <c r="E22" i="12"/>
  <c r="P22" i="12" s="1"/>
  <c r="AB22" i="12" s="1"/>
  <c r="AC22" i="12" s="1"/>
  <c r="E18" i="12"/>
  <c r="I18" i="12" s="1"/>
  <c r="AB18" i="12" s="1"/>
  <c r="AC18" i="12" s="1"/>
  <c r="E19" i="12"/>
  <c r="K19" i="12" s="1"/>
  <c r="AB19" i="12" s="1"/>
  <c r="AC19" i="12" s="1"/>
  <c r="E20" i="12"/>
  <c r="O20" i="12" s="1"/>
  <c r="AB20" i="12" s="1"/>
  <c r="AC20" i="12" s="1"/>
  <c r="E16" i="12"/>
  <c r="O16" i="12" s="1"/>
  <c r="AB16" i="12" s="1"/>
  <c r="AC16" i="12" s="1"/>
  <c r="E17" i="12"/>
  <c r="K17" i="12" s="1"/>
  <c r="E14" i="12"/>
  <c r="E15" i="12"/>
  <c r="E12" i="12"/>
  <c r="P12" i="12" s="1"/>
  <c r="E13" i="12"/>
  <c r="P13" i="12" s="1"/>
  <c r="AB13" i="12" s="1"/>
  <c r="AC13" i="12" s="1"/>
  <c r="E9" i="12"/>
  <c r="E10" i="12"/>
  <c r="R10" i="12" s="1"/>
  <c r="AB10" i="12" s="1"/>
  <c r="AC10" i="12" s="1"/>
  <c r="E11" i="12"/>
  <c r="O11" i="12" s="1"/>
  <c r="AB11" i="12" s="1"/>
  <c r="AC11" i="12" s="1"/>
  <c r="E8" i="12"/>
  <c r="E6" i="12"/>
  <c r="O6" i="12" s="1"/>
  <c r="E7" i="12"/>
  <c r="E28" i="12"/>
  <c r="M28" i="12" s="1"/>
  <c r="AB28" i="12" s="1"/>
  <c r="AC28" i="12" s="1"/>
  <c r="I18" i="11"/>
  <c r="I33" i="11"/>
  <c r="J31" i="11"/>
  <c r="I30" i="11"/>
  <c r="P29" i="11"/>
  <c r="O27" i="11"/>
  <c r="I28" i="11"/>
  <c r="P25" i="11"/>
  <c r="O24" i="11"/>
  <c r="O26" i="11"/>
  <c r="O23" i="11"/>
  <c r="O22" i="11"/>
  <c r="O21" i="11"/>
  <c r="I20" i="11"/>
  <c r="I19" i="11"/>
  <c r="I17" i="11"/>
  <c r="O15" i="11"/>
  <c r="I16" i="11"/>
  <c r="I14" i="11"/>
  <c r="I13" i="11"/>
  <c r="M12" i="11"/>
  <c r="K11" i="11"/>
  <c r="I10" i="11"/>
  <c r="H7" i="11"/>
  <c r="H8" i="11"/>
  <c r="H9" i="11"/>
  <c r="Q9" i="11" s="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6" i="11"/>
  <c r="I8" i="11"/>
  <c r="N7" i="11"/>
  <c r="I6" i="11"/>
  <c r="M113" i="9"/>
  <c r="AB113" i="9" s="1"/>
  <c r="H145" i="9"/>
  <c r="P145" i="9" s="1"/>
  <c r="AB145" i="9" s="1"/>
  <c r="H144" i="9"/>
  <c r="H143" i="9"/>
  <c r="O143" i="9" s="1"/>
  <c r="AB143" i="9" s="1"/>
  <c r="H142" i="9"/>
  <c r="H141" i="9"/>
  <c r="I141" i="9" s="1"/>
  <c r="AB141" i="9" s="1"/>
  <c r="H140" i="9"/>
  <c r="I140" i="9" s="1"/>
  <c r="AB140" i="9" s="1"/>
  <c r="H139" i="9"/>
  <c r="O139" i="9" s="1"/>
  <c r="AB139" i="9" s="1"/>
  <c r="H138" i="9"/>
  <c r="L138" i="9" s="1"/>
  <c r="H137" i="9"/>
  <c r="H136" i="9"/>
  <c r="K136" i="9" s="1"/>
  <c r="AB136" i="9" s="1"/>
  <c r="H135" i="9"/>
  <c r="H134" i="9"/>
  <c r="H133" i="9"/>
  <c r="H129" i="9"/>
  <c r="H128" i="9"/>
  <c r="K128" i="9" s="1"/>
  <c r="AB128" i="9" s="1"/>
  <c r="AC128" i="9" s="1"/>
  <c r="H127" i="9"/>
  <c r="H124" i="9"/>
  <c r="H123" i="9"/>
  <c r="H122" i="9"/>
  <c r="H118" i="9"/>
  <c r="O118" i="9" s="1"/>
  <c r="AB118" i="9" s="1"/>
  <c r="AC118" i="9" s="1"/>
  <c r="H117" i="9"/>
  <c r="H116" i="9"/>
  <c r="H113" i="9"/>
  <c r="H112" i="9"/>
  <c r="Q112" i="9" s="1"/>
  <c r="H111" i="9"/>
  <c r="O111" i="9" s="1"/>
  <c r="AB111" i="9" s="1"/>
  <c r="H110" i="9"/>
  <c r="P110" i="9" s="1"/>
  <c r="AB110" i="9" s="1"/>
  <c r="AC110" i="9" s="1"/>
  <c r="H109" i="9"/>
  <c r="H108" i="9"/>
  <c r="P108" i="9" s="1"/>
  <c r="AB108" i="9" s="1"/>
  <c r="AC108" i="9" s="1"/>
  <c r="H105" i="9"/>
  <c r="O105" i="9" s="1"/>
  <c r="AB105" i="9" s="1"/>
  <c r="AC105" i="9" s="1"/>
  <c r="H104" i="9"/>
  <c r="H103" i="9"/>
  <c r="O103" i="9" s="1"/>
  <c r="AB103" i="9" s="1"/>
  <c r="AC103" i="9" s="1"/>
  <c r="H94" i="9"/>
  <c r="H93" i="9"/>
  <c r="H92" i="9"/>
  <c r="P92" i="9" s="1"/>
  <c r="AB92" i="9" s="1"/>
  <c r="AC92" i="9" s="1"/>
  <c r="H90" i="9"/>
  <c r="H89" i="9"/>
  <c r="N89" i="9" s="1"/>
  <c r="AB89" i="9" s="1"/>
  <c r="AC89" i="9" s="1"/>
  <c r="H88" i="9"/>
  <c r="N88" i="9" s="1"/>
  <c r="AB88" i="9" s="1"/>
  <c r="AC88" i="9" s="1"/>
  <c r="H87" i="9"/>
  <c r="H86" i="9"/>
  <c r="K86" i="9" s="1"/>
  <c r="AB86" i="9" s="1"/>
  <c r="H84" i="9"/>
  <c r="P84" i="9" s="1"/>
  <c r="AB84" i="9" s="1"/>
  <c r="AC84" i="9" s="1"/>
  <c r="H83" i="9"/>
  <c r="K83" i="9" s="1"/>
  <c r="AB83" i="9" s="1"/>
  <c r="AC83" i="9" s="1"/>
  <c r="H82" i="9"/>
  <c r="K82" i="9" s="1"/>
  <c r="AB82" i="9" s="1"/>
  <c r="AC82" i="9" s="1"/>
  <c r="H81" i="9"/>
  <c r="M81" i="9" s="1"/>
  <c r="AB81" i="9" s="1"/>
  <c r="AC81" i="9" s="1"/>
  <c r="H80" i="9"/>
  <c r="K80" i="9" s="1"/>
  <c r="AB80" i="9" s="1"/>
  <c r="AC80" i="9" s="1"/>
  <c r="H79" i="9"/>
  <c r="N79" i="9" s="1"/>
  <c r="AB79" i="9" s="1"/>
  <c r="AC79" i="9" s="1"/>
  <c r="H78" i="9"/>
  <c r="H77" i="9"/>
  <c r="P77" i="9" s="1"/>
  <c r="AB77" i="9" s="1"/>
  <c r="AC77" i="9" s="1"/>
  <c r="H76" i="9"/>
  <c r="N76" i="9" s="1"/>
  <c r="AB76" i="9" s="1"/>
  <c r="AC76" i="9" s="1"/>
  <c r="H75" i="9"/>
  <c r="P75" i="9" s="1"/>
  <c r="AB75" i="9" s="1"/>
  <c r="AC75" i="9" s="1"/>
  <c r="H74" i="9"/>
  <c r="K74" i="9" s="1"/>
  <c r="AB74" i="9" s="1"/>
  <c r="AC74" i="9" s="1"/>
  <c r="H73" i="9"/>
  <c r="H72" i="9"/>
  <c r="I72" i="9" s="1"/>
  <c r="AB72" i="9" s="1"/>
  <c r="H71" i="9"/>
  <c r="K71" i="9" s="1"/>
  <c r="AB71" i="9" s="1"/>
  <c r="AC71" i="9" s="1"/>
  <c r="H70" i="9"/>
  <c r="H69" i="9"/>
  <c r="H68" i="9"/>
  <c r="P68" i="9" s="1"/>
  <c r="AB68" i="9" s="1"/>
  <c r="AC68" i="9" s="1"/>
  <c r="H65" i="9"/>
  <c r="P65" i="9" s="1"/>
  <c r="AB65" i="9" s="1"/>
  <c r="AC65" i="9" s="1"/>
  <c r="H64" i="9"/>
  <c r="K64" i="9" s="1"/>
  <c r="AB64" i="9" s="1"/>
  <c r="AC64" i="9" s="1"/>
  <c r="H63" i="9"/>
  <c r="I63" i="9" s="1"/>
  <c r="AB63" i="9" s="1"/>
  <c r="AC63" i="9" s="1"/>
  <c r="H62" i="9"/>
  <c r="M62" i="9" s="1"/>
  <c r="AB62" i="9" s="1"/>
  <c r="AC62" i="9" s="1"/>
  <c r="H61" i="9"/>
  <c r="I61" i="9" s="1"/>
  <c r="AB61" i="9" s="1"/>
  <c r="AC61" i="9" s="1"/>
  <c r="H59" i="9"/>
  <c r="P59" i="9" s="1"/>
  <c r="AB59" i="9" s="1"/>
  <c r="AC59" i="9" s="1"/>
  <c r="H58" i="9"/>
  <c r="P58" i="9" s="1"/>
  <c r="AB58" i="9" s="1"/>
  <c r="AC58" i="9" s="1"/>
  <c r="H57" i="9"/>
  <c r="K57" i="9" s="1"/>
  <c r="AB57" i="9" s="1"/>
  <c r="H53" i="9"/>
  <c r="K53" i="9" s="1"/>
  <c r="AB53" i="9" s="1"/>
  <c r="AC53" i="9" s="1"/>
  <c r="H52" i="9"/>
  <c r="H51" i="9"/>
  <c r="H50" i="9"/>
  <c r="K50" i="9" s="1"/>
  <c r="AB50" i="9" s="1"/>
  <c r="AC50" i="9" s="1"/>
  <c r="H49" i="9"/>
  <c r="I49" i="9" s="1"/>
  <c r="AB49" i="9" s="1"/>
  <c r="AC49" i="9" s="1"/>
  <c r="H48" i="9"/>
  <c r="I48" i="9" s="1"/>
  <c r="AB48" i="9" s="1"/>
  <c r="H47" i="9"/>
  <c r="P47" i="9" s="1"/>
  <c r="AB47" i="9" s="1"/>
  <c r="AC47" i="9" s="1"/>
  <c r="H46" i="9"/>
  <c r="I46" i="9" s="1"/>
  <c r="AB46" i="9" s="1"/>
  <c r="H45" i="9"/>
  <c r="I45" i="9" s="1"/>
  <c r="AB45" i="9" s="1"/>
  <c r="H44" i="9"/>
  <c r="P44" i="9" s="1"/>
  <c r="AB44" i="9" s="1"/>
  <c r="AC44" i="9" s="1"/>
  <c r="H43" i="9"/>
  <c r="P43" i="9" s="1"/>
  <c r="AB43" i="9" s="1"/>
  <c r="AC43" i="9" s="1"/>
  <c r="H42" i="9"/>
  <c r="I42" i="9" s="1"/>
  <c r="AB42" i="9" s="1"/>
  <c r="H41" i="9"/>
  <c r="I41" i="9" s="1"/>
  <c r="AB41" i="9" s="1"/>
  <c r="H40" i="9"/>
  <c r="I40" i="9" s="1"/>
  <c r="AB40" i="9" s="1"/>
  <c r="AC40" i="9" s="1"/>
  <c r="H37" i="9"/>
  <c r="H36" i="9"/>
  <c r="P36" i="9" s="1"/>
  <c r="AB36" i="9" s="1"/>
  <c r="AC36" i="9" s="1"/>
  <c r="H35" i="9"/>
  <c r="H31" i="9"/>
  <c r="P31" i="9" s="1"/>
  <c r="AB31" i="9" s="1"/>
  <c r="AC31" i="9" s="1"/>
  <c r="H30" i="9"/>
  <c r="K30" i="9" s="1"/>
  <c r="AB30" i="9" s="1"/>
  <c r="AC30" i="9" s="1"/>
  <c r="H29" i="9"/>
  <c r="P29" i="9" s="1"/>
  <c r="AB29" i="9" s="1"/>
  <c r="AC29" i="9" s="1"/>
  <c r="H28" i="9"/>
  <c r="P28" i="9" s="1"/>
  <c r="AB28" i="9" s="1"/>
  <c r="AC28" i="9" s="1"/>
  <c r="H27" i="9"/>
  <c r="H26" i="9"/>
  <c r="M26" i="9" s="1"/>
  <c r="AB26" i="9" s="1"/>
  <c r="AC26" i="9" s="1"/>
  <c r="H25" i="9"/>
  <c r="I25" i="9" s="1"/>
  <c r="AB25" i="9" s="1"/>
  <c r="AC25" i="9" s="1"/>
  <c r="H24" i="9"/>
  <c r="M24" i="9" s="1"/>
  <c r="AB24" i="9" s="1"/>
  <c r="AC24" i="9" s="1"/>
  <c r="H23" i="9"/>
  <c r="I23" i="9" s="1"/>
  <c r="AB23" i="9" s="1"/>
  <c r="AC23" i="9" s="1"/>
  <c r="H22" i="9"/>
  <c r="I22" i="9" s="1"/>
  <c r="AB22" i="9" s="1"/>
  <c r="AC22" i="9" s="1"/>
  <c r="H21" i="9"/>
  <c r="K21" i="9" s="1"/>
  <c r="AB21" i="9" s="1"/>
  <c r="AC21" i="9" s="1"/>
  <c r="H20" i="9"/>
  <c r="P20" i="9" s="1"/>
  <c r="AB20" i="9" s="1"/>
  <c r="AC20" i="9" s="1"/>
  <c r="H19" i="9"/>
  <c r="I19" i="9" s="1"/>
  <c r="AB19" i="9" s="1"/>
  <c r="H18" i="9"/>
  <c r="K18" i="9" s="1"/>
  <c r="AB18" i="9" s="1"/>
  <c r="AC18" i="9" s="1"/>
  <c r="H17" i="9"/>
  <c r="O17" i="9" s="1"/>
  <c r="AB17" i="9" s="1"/>
  <c r="H16" i="9"/>
  <c r="O16" i="9" s="1"/>
  <c r="AB16" i="9" s="1"/>
  <c r="AC16" i="9" s="1"/>
  <c r="H15" i="9"/>
  <c r="M15" i="9" s="1"/>
  <c r="AB15" i="9" s="1"/>
  <c r="AC15" i="9" s="1"/>
  <c r="H13" i="9"/>
  <c r="M13" i="9" s="1"/>
  <c r="AB13" i="9" s="1"/>
  <c r="AC13" i="9" s="1"/>
  <c r="H12" i="9"/>
  <c r="P12" i="9" s="1"/>
  <c r="AB12" i="9" s="1"/>
  <c r="AC12" i="9" s="1"/>
  <c r="H11" i="9"/>
  <c r="I11" i="9" s="1"/>
  <c r="AB11" i="9" s="1"/>
  <c r="AC11" i="9" s="1"/>
  <c r="H10" i="9"/>
  <c r="P10" i="9" s="1"/>
  <c r="AB10" i="9" s="1"/>
  <c r="AC10" i="9" s="1"/>
  <c r="H9" i="9"/>
  <c r="O9" i="9" s="1"/>
  <c r="AB9" i="9" s="1"/>
  <c r="AC9" i="9" s="1"/>
  <c r="H8" i="9"/>
  <c r="P8" i="9" s="1"/>
  <c r="AB8" i="9" s="1"/>
  <c r="AC8" i="9" s="1"/>
  <c r="H7" i="9"/>
  <c r="P7" i="9" s="1"/>
  <c r="AB7" i="9" s="1"/>
  <c r="AC7" i="9" s="1"/>
  <c r="H6" i="9"/>
  <c r="K1" i="10"/>
  <c r="J4" i="9"/>
  <c r="R4" i="9"/>
  <c r="S4" i="9"/>
  <c r="T4" i="9"/>
  <c r="U4" i="9"/>
  <c r="V4" i="9"/>
  <c r="W4" i="9"/>
  <c r="X4" i="9"/>
  <c r="Y4" i="9"/>
  <c r="Z4" i="9"/>
  <c r="AA4" i="9"/>
  <c r="R4" i="10"/>
  <c r="S4" i="10"/>
  <c r="T4" i="10"/>
  <c r="U4" i="10"/>
  <c r="V4" i="10"/>
  <c r="W4" i="10"/>
  <c r="X4" i="10"/>
  <c r="Y4" i="10"/>
  <c r="Z4" i="10"/>
  <c r="AA4" i="10"/>
  <c r="M260" i="10"/>
  <c r="AB260" i="10" s="1"/>
  <c r="H259" i="10"/>
  <c r="P259" i="10" s="1"/>
  <c r="AB259" i="10" s="1"/>
  <c r="AC259" i="10" s="1"/>
  <c r="F259" i="10"/>
  <c r="H258" i="10"/>
  <c r="L258" i="10" s="1"/>
  <c r="AB258" i="10" s="1"/>
  <c r="AC258" i="10" s="1"/>
  <c r="F258" i="10"/>
  <c r="H257" i="10"/>
  <c r="M257" i="10" s="1"/>
  <c r="AB257" i="10" s="1"/>
  <c r="AC257" i="10" s="1"/>
  <c r="F257" i="10"/>
  <c r="H256" i="10"/>
  <c r="P256" i="10" s="1"/>
  <c r="AB256" i="10" s="1"/>
  <c r="AC256" i="10" s="1"/>
  <c r="F256" i="10"/>
  <c r="H255" i="10"/>
  <c r="I255" i="10" s="1"/>
  <c r="AB255" i="10" s="1"/>
  <c r="AC255" i="10" s="1"/>
  <c r="F255" i="10"/>
  <c r="H254" i="10"/>
  <c r="I254" i="10" s="1"/>
  <c r="AB254" i="10" s="1"/>
  <c r="AC254" i="10" s="1"/>
  <c r="F254" i="10"/>
  <c r="I253" i="10"/>
  <c r="AB253" i="10" s="1"/>
  <c r="AC253" i="10" s="1"/>
  <c r="H252" i="10"/>
  <c r="I252" i="10" s="1"/>
  <c r="AB252" i="10" s="1"/>
  <c r="AC252" i="10" s="1"/>
  <c r="F252" i="10"/>
  <c r="H251" i="10"/>
  <c r="N251" i="10" s="1"/>
  <c r="AB251" i="10" s="1"/>
  <c r="AC251" i="10" s="1"/>
  <c r="F251" i="10"/>
  <c r="I250" i="10"/>
  <c r="AB250" i="10" s="1"/>
  <c r="AC250" i="10" s="1"/>
  <c r="I249" i="10"/>
  <c r="AB249" i="10" s="1"/>
  <c r="AC249" i="10" s="1"/>
  <c r="H248" i="10"/>
  <c r="I248" i="10" s="1"/>
  <c r="AB248" i="10" s="1"/>
  <c r="AC248" i="10" s="1"/>
  <c r="F248" i="10"/>
  <c r="H247" i="10"/>
  <c r="I247" i="10" s="1"/>
  <c r="AB247" i="10" s="1"/>
  <c r="AC247" i="10" s="1"/>
  <c r="F247" i="10"/>
  <c r="H246" i="10"/>
  <c r="N246" i="10" s="1"/>
  <c r="AB246" i="10" s="1"/>
  <c r="AC246" i="10" s="1"/>
  <c r="F246" i="10"/>
  <c r="H245" i="10"/>
  <c r="K245" i="10" s="1"/>
  <c r="AB245" i="10" s="1"/>
  <c r="AC245" i="10" s="1"/>
  <c r="F245" i="10"/>
  <c r="H244" i="10"/>
  <c r="I244" i="10" s="1"/>
  <c r="AB244" i="10" s="1"/>
  <c r="AC244" i="10" s="1"/>
  <c r="F244" i="10"/>
  <c r="H243" i="10"/>
  <c r="I243" i="10" s="1"/>
  <c r="AB243" i="10" s="1"/>
  <c r="AC243" i="10" s="1"/>
  <c r="F243" i="10"/>
  <c r="H242" i="10"/>
  <c r="M242" i="10" s="1"/>
  <c r="AB242" i="10" s="1"/>
  <c r="AC242" i="10" s="1"/>
  <c r="F242" i="10"/>
  <c r="H241" i="10"/>
  <c r="K241" i="10" s="1"/>
  <c r="AB241" i="10" s="1"/>
  <c r="AC241" i="10" s="1"/>
  <c r="F241" i="10"/>
  <c r="H240" i="10"/>
  <c r="K240" i="10" s="1"/>
  <c r="AB240" i="10" s="1"/>
  <c r="AC240" i="10" s="1"/>
  <c r="F240" i="10"/>
  <c r="H239" i="10"/>
  <c r="I239" i="10" s="1"/>
  <c r="AB239" i="10" s="1"/>
  <c r="AC239" i="10" s="1"/>
  <c r="F239" i="10"/>
  <c r="I238" i="10"/>
  <c r="AB238" i="10" s="1"/>
  <c r="AC238" i="10" s="1"/>
  <c r="AB237" i="10"/>
  <c r="AC237" i="10" s="1"/>
  <c r="I237" i="10"/>
  <c r="H236" i="10"/>
  <c r="O236" i="10" s="1"/>
  <c r="AB236" i="10" s="1"/>
  <c r="AC236" i="10" s="1"/>
  <c r="F236" i="10"/>
  <c r="H235" i="10"/>
  <c r="I235" i="10" s="1"/>
  <c r="AB235" i="10" s="1"/>
  <c r="AC235" i="10" s="1"/>
  <c r="F235" i="10"/>
  <c r="H234" i="10"/>
  <c r="P234" i="10" s="1"/>
  <c r="AB234" i="10" s="1"/>
  <c r="AC234" i="10" s="1"/>
  <c r="F234" i="10"/>
  <c r="P233" i="10"/>
  <c r="AB233" i="10" s="1"/>
  <c r="AC233" i="10" s="1"/>
  <c r="H232" i="10"/>
  <c r="M232" i="10" s="1"/>
  <c r="AB232" i="10" s="1"/>
  <c r="AC232" i="10" s="1"/>
  <c r="F232" i="10"/>
  <c r="I231" i="10"/>
  <c r="AB231" i="10" s="1"/>
  <c r="AC231" i="10" s="1"/>
  <c r="I230" i="10"/>
  <c r="AB230" i="10" s="1"/>
  <c r="AC230" i="10" s="1"/>
  <c r="H229" i="10"/>
  <c r="P229" i="10" s="1"/>
  <c r="AB229" i="10" s="1"/>
  <c r="AC229" i="10" s="1"/>
  <c r="F229" i="10"/>
  <c r="H228" i="10"/>
  <c r="L228" i="10" s="1"/>
  <c r="AB228" i="10" s="1"/>
  <c r="AC228" i="10" s="1"/>
  <c r="F228" i="10"/>
  <c r="H227" i="10"/>
  <c r="L227" i="10" s="1"/>
  <c r="AB227" i="10" s="1"/>
  <c r="AC227" i="10" s="1"/>
  <c r="F227" i="10"/>
  <c r="O226" i="10"/>
  <c r="AB226" i="10" s="1"/>
  <c r="AC226" i="10" s="1"/>
  <c r="H226" i="10"/>
  <c r="F226" i="10"/>
  <c r="H225" i="10"/>
  <c r="I225" i="10" s="1"/>
  <c r="AB225" i="10" s="1"/>
  <c r="AC225" i="10" s="1"/>
  <c r="F225" i="10"/>
  <c r="I224" i="10"/>
  <c r="AB224" i="10" s="1"/>
  <c r="AC224" i="10" s="1"/>
  <c r="I223" i="10"/>
  <c r="AB223" i="10" s="1"/>
  <c r="AC223" i="10" s="1"/>
  <c r="I222" i="10"/>
  <c r="AB222" i="10" s="1"/>
  <c r="AC222" i="10" s="1"/>
  <c r="AB221" i="10"/>
  <c r="AC221" i="10" s="1"/>
  <c r="H220" i="10"/>
  <c r="K220" i="10" s="1"/>
  <c r="AB220" i="10" s="1"/>
  <c r="AC220" i="10" s="1"/>
  <c r="F220" i="10"/>
  <c r="AC219" i="10"/>
  <c r="AB219" i="10"/>
  <c r="K218" i="10"/>
  <c r="AB218" i="10" s="1"/>
  <c r="AC218" i="10" s="1"/>
  <c r="AB217" i="10"/>
  <c r="AC217" i="10" s="1"/>
  <c r="AB216" i="10"/>
  <c r="AC216" i="10" s="1"/>
  <c r="I216" i="10"/>
  <c r="I215" i="10"/>
  <c r="AB215" i="10" s="1"/>
  <c r="AC215" i="10" s="1"/>
  <c r="I214" i="10"/>
  <c r="AB214" i="10" s="1"/>
  <c r="AC214" i="10" s="1"/>
  <c r="I213" i="10"/>
  <c r="AB213" i="10" s="1"/>
  <c r="AC213" i="10" s="1"/>
  <c r="I212" i="10"/>
  <c r="AB212" i="10" s="1"/>
  <c r="AC212" i="10" s="1"/>
  <c r="H211" i="10"/>
  <c r="I211" i="10" s="1"/>
  <c r="AB211" i="10" s="1"/>
  <c r="AC211" i="10" s="1"/>
  <c r="F211" i="10"/>
  <c r="AB210" i="10"/>
  <c r="AC210" i="10" s="1"/>
  <c r="H209" i="10"/>
  <c r="K209" i="10" s="1"/>
  <c r="AB209" i="10" s="1"/>
  <c r="AC209" i="10" s="1"/>
  <c r="F209" i="10"/>
  <c r="AB208" i="10"/>
  <c r="AC208" i="10" s="1"/>
  <c r="H207" i="10"/>
  <c r="P207" i="10" s="1"/>
  <c r="AB207" i="10" s="1"/>
  <c r="AC207" i="10" s="1"/>
  <c r="F207" i="10"/>
  <c r="I206" i="10"/>
  <c r="AB206" i="10" s="1"/>
  <c r="AC206" i="10" s="1"/>
  <c r="H205" i="10"/>
  <c r="M205" i="10" s="1"/>
  <c r="AB205" i="10" s="1"/>
  <c r="AC205" i="10" s="1"/>
  <c r="F205" i="10"/>
  <c r="I204" i="10"/>
  <c r="AB204" i="10" s="1"/>
  <c r="AC204" i="10" s="1"/>
  <c r="I203" i="10"/>
  <c r="AB203" i="10" s="1"/>
  <c r="AC203" i="10" s="1"/>
  <c r="I202" i="10"/>
  <c r="AB202" i="10" s="1"/>
  <c r="AC202" i="10" s="1"/>
  <c r="I201" i="10"/>
  <c r="AB201" i="10" s="1"/>
  <c r="AC201" i="10" s="1"/>
  <c r="H200" i="10"/>
  <c r="K200" i="10" s="1"/>
  <c r="AB200" i="10" s="1"/>
  <c r="AC200" i="10" s="1"/>
  <c r="F200" i="10"/>
  <c r="H199" i="10"/>
  <c r="M199" i="10" s="1"/>
  <c r="AB199" i="10" s="1"/>
  <c r="AC199" i="10" s="1"/>
  <c r="F199" i="10"/>
  <c r="H198" i="10"/>
  <c r="O198" i="10" s="1"/>
  <c r="AB198" i="10" s="1"/>
  <c r="AC198" i="10" s="1"/>
  <c r="F198" i="10"/>
  <c r="H197" i="10"/>
  <c r="K197" i="10" s="1"/>
  <c r="AB197" i="10" s="1"/>
  <c r="AC197" i="10" s="1"/>
  <c r="F197" i="10"/>
  <c r="AB196" i="10"/>
  <c r="AC196" i="10" s="1"/>
  <c r="H195" i="10"/>
  <c r="M195" i="10" s="1"/>
  <c r="AB195" i="10" s="1"/>
  <c r="AC195" i="10" s="1"/>
  <c r="F195" i="10"/>
  <c r="H194" i="10"/>
  <c r="I194" i="10" s="1"/>
  <c r="AB194" i="10" s="1"/>
  <c r="AC194" i="10" s="1"/>
  <c r="F194" i="10"/>
  <c r="H193" i="10"/>
  <c r="K193" i="10" s="1"/>
  <c r="AB193" i="10" s="1"/>
  <c r="AC193" i="10" s="1"/>
  <c r="F193" i="10"/>
  <c r="AB192" i="10"/>
  <c r="H192" i="10"/>
  <c r="F192" i="10"/>
  <c r="AB191" i="10"/>
  <c r="H191" i="10"/>
  <c r="F191" i="10"/>
  <c r="H190" i="10"/>
  <c r="I190" i="10" s="1"/>
  <c r="AB190" i="10" s="1"/>
  <c r="AC190" i="10" s="1"/>
  <c r="F190" i="10"/>
  <c r="H189" i="10"/>
  <c r="M189" i="10" s="1"/>
  <c r="AB189" i="10" s="1"/>
  <c r="AC189" i="10" s="1"/>
  <c r="F189" i="10"/>
  <c r="H188" i="10"/>
  <c r="I188" i="10" s="1"/>
  <c r="AB188" i="10" s="1"/>
  <c r="AC188" i="10" s="1"/>
  <c r="F188" i="10"/>
  <c r="I187" i="10"/>
  <c r="AB187" i="10" s="1"/>
  <c r="AC187" i="10" s="1"/>
  <c r="I186" i="10"/>
  <c r="AB186" i="10" s="1"/>
  <c r="AC186" i="10" s="1"/>
  <c r="I185" i="10"/>
  <c r="AB185" i="10" s="1"/>
  <c r="AC185" i="10" s="1"/>
  <c r="I184" i="10"/>
  <c r="AB184" i="10" s="1"/>
  <c r="AC184" i="10" s="1"/>
  <c r="I183" i="10"/>
  <c r="AB183" i="10" s="1"/>
  <c r="AC183" i="10" s="1"/>
  <c r="H182" i="10"/>
  <c r="O182" i="10" s="1"/>
  <c r="AB182" i="10" s="1"/>
  <c r="AC182" i="10" s="1"/>
  <c r="F182" i="10"/>
  <c r="H181" i="10"/>
  <c r="M181" i="10" s="1"/>
  <c r="AB181" i="10" s="1"/>
  <c r="AC181" i="10" s="1"/>
  <c r="F181" i="10"/>
  <c r="H180" i="10"/>
  <c r="O180" i="10" s="1"/>
  <c r="AB180" i="10" s="1"/>
  <c r="AC180" i="10" s="1"/>
  <c r="F180" i="10"/>
  <c r="AB179" i="10"/>
  <c r="AC179" i="10" s="1"/>
  <c r="H178" i="10"/>
  <c r="I178" i="10" s="1"/>
  <c r="AB178" i="10" s="1"/>
  <c r="AC178" i="10" s="1"/>
  <c r="F178" i="10"/>
  <c r="H177" i="10"/>
  <c r="K177" i="10" s="1"/>
  <c r="AB177" i="10" s="1"/>
  <c r="AC177" i="10" s="1"/>
  <c r="F177" i="10"/>
  <c r="H176" i="10"/>
  <c r="O176" i="10" s="1"/>
  <c r="AB176" i="10" s="1"/>
  <c r="AC176" i="10" s="1"/>
  <c r="F176" i="10"/>
  <c r="H175" i="10"/>
  <c r="M175" i="10" s="1"/>
  <c r="AB175" i="10" s="1"/>
  <c r="AC175" i="10" s="1"/>
  <c r="F175" i="10"/>
  <c r="H174" i="10"/>
  <c r="O174" i="10" s="1"/>
  <c r="AB174" i="10" s="1"/>
  <c r="AC174" i="10" s="1"/>
  <c r="F174" i="10"/>
  <c r="I173" i="10"/>
  <c r="AB173" i="10" s="1"/>
  <c r="AC173" i="10" s="1"/>
  <c r="I172" i="10"/>
  <c r="AB172" i="10" s="1"/>
  <c r="AC172" i="10" s="1"/>
  <c r="I171" i="10"/>
  <c r="AB171" i="10" s="1"/>
  <c r="AC171" i="10" s="1"/>
  <c r="H170" i="10"/>
  <c r="O170" i="10" s="1"/>
  <c r="AB170" i="10" s="1"/>
  <c r="AC170" i="10" s="1"/>
  <c r="F170" i="10"/>
  <c r="H169" i="10"/>
  <c r="O169" i="10" s="1"/>
  <c r="AB169" i="10" s="1"/>
  <c r="AC169" i="10" s="1"/>
  <c r="F169" i="10"/>
  <c r="H168" i="10"/>
  <c r="P168" i="10" s="1"/>
  <c r="AB168" i="10" s="1"/>
  <c r="AC168" i="10" s="1"/>
  <c r="F168" i="10"/>
  <c r="H167" i="10"/>
  <c r="M167" i="10" s="1"/>
  <c r="AB167" i="10" s="1"/>
  <c r="AC167" i="10" s="1"/>
  <c r="F167" i="10"/>
  <c r="AB166" i="10"/>
  <c r="AC166" i="10" s="1"/>
  <c r="I165" i="10"/>
  <c r="AB165" i="10" s="1"/>
  <c r="AC165" i="10" s="1"/>
  <c r="I164" i="10"/>
  <c r="AB164" i="10" s="1"/>
  <c r="AC164" i="10" s="1"/>
  <c r="H163" i="10"/>
  <c r="O163" i="10" s="1"/>
  <c r="AB163" i="10" s="1"/>
  <c r="AC163" i="10" s="1"/>
  <c r="F163" i="10"/>
  <c r="H162" i="10"/>
  <c r="O162" i="10" s="1"/>
  <c r="AB162" i="10" s="1"/>
  <c r="AC162" i="10" s="1"/>
  <c r="F162" i="10"/>
  <c r="H161" i="10"/>
  <c r="M161" i="10" s="1"/>
  <c r="AB161" i="10" s="1"/>
  <c r="AC161" i="10" s="1"/>
  <c r="F161" i="10"/>
  <c r="AB160" i="10"/>
  <c r="H160" i="10"/>
  <c r="F160" i="10"/>
  <c r="I159" i="10"/>
  <c r="AB159" i="10" s="1"/>
  <c r="AC159" i="10" s="1"/>
  <c r="I158" i="10"/>
  <c r="AB158" i="10" s="1"/>
  <c r="AC158" i="10" s="1"/>
  <c r="I157" i="10"/>
  <c r="AB157" i="10" s="1"/>
  <c r="AC157" i="10" s="1"/>
  <c r="AB156" i="10"/>
  <c r="AC156" i="10" s="1"/>
  <c r="I155" i="10"/>
  <c r="AB155" i="10" s="1"/>
  <c r="AC155" i="10" s="1"/>
  <c r="I154" i="10"/>
  <c r="AB154" i="10" s="1"/>
  <c r="AC154" i="10" s="1"/>
  <c r="H153" i="10"/>
  <c r="J153" i="10" s="1"/>
  <c r="AB153" i="10" s="1"/>
  <c r="AC153" i="10" s="1"/>
  <c r="F153" i="10"/>
  <c r="H152" i="10"/>
  <c r="O152" i="10" s="1"/>
  <c r="AB152" i="10" s="1"/>
  <c r="AC152" i="10" s="1"/>
  <c r="F152" i="10"/>
  <c r="H151" i="10"/>
  <c r="I151" i="10" s="1"/>
  <c r="AB151" i="10" s="1"/>
  <c r="AC151" i="10" s="1"/>
  <c r="F151" i="10"/>
  <c r="H150" i="10"/>
  <c r="I150" i="10" s="1"/>
  <c r="AB150" i="10" s="1"/>
  <c r="AC150" i="10" s="1"/>
  <c r="F150" i="10"/>
  <c r="H149" i="10"/>
  <c r="I149" i="10" s="1"/>
  <c r="AB149" i="10" s="1"/>
  <c r="AC149" i="10" s="1"/>
  <c r="F149" i="10"/>
  <c r="H148" i="10"/>
  <c r="K148" i="10" s="1"/>
  <c r="AB148" i="10" s="1"/>
  <c r="AC148" i="10" s="1"/>
  <c r="F148" i="10"/>
  <c r="AB147" i="10"/>
  <c r="AC147" i="10" s="1"/>
  <c r="AB146" i="10"/>
  <c r="AC146" i="10" s="1"/>
  <c r="AB145" i="10"/>
  <c r="AC145" i="10" s="1"/>
  <c r="H144" i="10"/>
  <c r="I144" i="10" s="1"/>
  <c r="AB144" i="10" s="1"/>
  <c r="AC144" i="10" s="1"/>
  <c r="F144" i="10"/>
  <c r="H143" i="10"/>
  <c r="K143" i="10" s="1"/>
  <c r="AB143" i="10" s="1"/>
  <c r="AC143" i="10" s="1"/>
  <c r="F143" i="10"/>
  <c r="H142" i="10"/>
  <c r="I142" i="10" s="1"/>
  <c r="AB142" i="10" s="1"/>
  <c r="AC142" i="10" s="1"/>
  <c r="F142" i="10"/>
  <c r="AB141" i="10"/>
  <c r="AC141" i="10" s="1"/>
  <c r="H140" i="10"/>
  <c r="I140" i="10" s="1"/>
  <c r="AB140" i="10" s="1"/>
  <c r="AC140" i="10" s="1"/>
  <c r="F140" i="10"/>
  <c r="I139" i="10"/>
  <c r="AB139" i="10" s="1"/>
  <c r="AC139" i="10" s="1"/>
  <c r="I138" i="10"/>
  <c r="AB138" i="10" s="1"/>
  <c r="AC138" i="10" s="1"/>
  <c r="I137" i="10"/>
  <c r="AB137" i="10" s="1"/>
  <c r="AC137" i="10" s="1"/>
  <c r="I136" i="10"/>
  <c r="AB136" i="10" s="1"/>
  <c r="AC136" i="10" s="1"/>
  <c r="AB135" i="10"/>
  <c r="AC135" i="10" s="1"/>
  <c r="AB134" i="10"/>
  <c r="AC134" i="10" s="1"/>
  <c r="N133" i="10"/>
  <c r="AB133" i="10" s="1"/>
  <c r="AC133" i="10" s="1"/>
  <c r="AB132" i="10"/>
  <c r="AC132" i="10" s="1"/>
  <c r="H131" i="10"/>
  <c r="N131" i="10" s="1"/>
  <c r="AB131" i="10" s="1"/>
  <c r="AC131" i="10" s="1"/>
  <c r="F131" i="10"/>
  <c r="AB130" i="10"/>
  <c r="AC130" i="10" s="1"/>
  <c r="N130" i="10"/>
  <c r="N129" i="10"/>
  <c r="AB129" i="10" s="1"/>
  <c r="AC129" i="10" s="1"/>
  <c r="H128" i="10"/>
  <c r="O128" i="10" s="1"/>
  <c r="AB128" i="10" s="1"/>
  <c r="AC128" i="10" s="1"/>
  <c r="F128" i="10"/>
  <c r="H127" i="10"/>
  <c r="O127" i="10" s="1"/>
  <c r="AB127" i="10" s="1"/>
  <c r="AC127" i="10" s="1"/>
  <c r="F127" i="10"/>
  <c r="H126" i="10"/>
  <c r="N126" i="10" s="1"/>
  <c r="AB126" i="10" s="1"/>
  <c r="AC126" i="10" s="1"/>
  <c r="F126" i="10"/>
  <c r="H125" i="10"/>
  <c r="I125" i="10" s="1"/>
  <c r="AB125" i="10" s="1"/>
  <c r="AC125" i="10" s="1"/>
  <c r="F125" i="10"/>
  <c r="H124" i="10"/>
  <c r="M124" i="10" s="1"/>
  <c r="AB124" i="10" s="1"/>
  <c r="AC124" i="10" s="1"/>
  <c r="F124" i="10"/>
  <c r="H123" i="10"/>
  <c r="I123" i="10" s="1"/>
  <c r="AB123" i="10" s="1"/>
  <c r="AC123" i="10" s="1"/>
  <c r="F123" i="10"/>
  <c r="I122" i="10"/>
  <c r="AB122" i="10" s="1"/>
  <c r="AC122" i="10" s="1"/>
  <c r="I121" i="10"/>
  <c r="AB121" i="10" s="1"/>
  <c r="AC121" i="10" s="1"/>
  <c r="AB120" i="10"/>
  <c r="AC120" i="10" s="1"/>
  <c r="I120" i="10"/>
  <c r="I119" i="10"/>
  <c r="AB119" i="10" s="1"/>
  <c r="AC119" i="10" s="1"/>
  <c r="I118" i="10"/>
  <c r="AB118" i="10" s="1"/>
  <c r="AC118" i="10" s="1"/>
  <c r="I117" i="10"/>
  <c r="AB117" i="10" s="1"/>
  <c r="AC117" i="10" s="1"/>
  <c r="I116" i="10"/>
  <c r="AB116" i="10" s="1"/>
  <c r="AC116" i="10" s="1"/>
  <c r="I115" i="10"/>
  <c r="AB115" i="10" s="1"/>
  <c r="AC115" i="10" s="1"/>
  <c r="I114" i="10"/>
  <c r="AB114" i="10" s="1"/>
  <c r="AC114" i="10" s="1"/>
  <c r="I113" i="10"/>
  <c r="AB113" i="10" s="1"/>
  <c r="AC113" i="10" s="1"/>
  <c r="I112" i="10"/>
  <c r="AB112" i="10" s="1"/>
  <c r="AC112" i="10" s="1"/>
  <c r="H111" i="10"/>
  <c r="N111" i="10" s="1"/>
  <c r="AB111" i="10" s="1"/>
  <c r="AC111" i="10" s="1"/>
  <c r="F111" i="10"/>
  <c r="H110" i="10"/>
  <c r="I110" i="10" s="1"/>
  <c r="AB110" i="10" s="1"/>
  <c r="AC110" i="10" s="1"/>
  <c r="F110" i="10"/>
  <c r="H109" i="10"/>
  <c r="I109" i="10" s="1"/>
  <c r="AB109" i="10" s="1"/>
  <c r="AC109" i="10" s="1"/>
  <c r="F109" i="10"/>
  <c r="H108" i="10"/>
  <c r="K108" i="10" s="1"/>
  <c r="AB108" i="10" s="1"/>
  <c r="AC108" i="10" s="1"/>
  <c r="F108" i="10"/>
  <c r="H107" i="10"/>
  <c r="N107" i="10" s="1"/>
  <c r="AB107" i="10" s="1"/>
  <c r="AC107" i="10" s="1"/>
  <c r="F107" i="10"/>
  <c r="H106" i="10"/>
  <c r="N106" i="10" s="1"/>
  <c r="AB106" i="10" s="1"/>
  <c r="AC106" i="10" s="1"/>
  <c r="F106" i="10"/>
  <c r="AB105" i="10"/>
  <c r="AC105" i="10" s="1"/>
  <c r="I104" i="10"/>
  <c r="AB104" i="10" s="1"/>
  <c r="AC104" i="10" s="1"/>
  <c r="H104" i="10"/>
  <c r="F104" i="10"/>
  <c r="AB103" i="10"/>
  <c r="AC103" i="10" s="1"/>
  <c r="H102" i="10"/>
  <c r="P102" i="10" s="1"/>
  <c r="AB102" i="10" s="1"/>
  <c r="AC102" i="10" s="1"/>
  <c r="F102" i="10"/>
  <c r="H101" i="10"/>
  <c r="K101" i="10" s="1"/>
  <c r="AB101" i="10" s="1"/>
  <c r="AC101" i="10" s="1"/>
  <c r="F101" i="10"/>
  <c r="H100" i="10"/>
  <c r="K100" i="10" s="1"/>
  <c r="AB100" i="10" s="1"/>
  <c r="AC100" i="10" s="1"/>
  <c r="F100" i="10"/>
  <c r="I99" i="10"/>
  <c r="AB99" i="10" s="1"/>
  <c r="AC99" i="10" s="1"/>
  <c r="I98" i="10"/>
  <c r="AB98" i="10" s="1"/>
  <c r="AC98" i="10" s="1"/>
  <c r="H97" i="10"/>
  <c r="M97" i="10" s="1"/>
  <c r="AB97" i="10" s="1"/>
  <c r="AC97" i="10" s="1"/>
  <c r="F97" i="10"/>
  <c r="H96" i="10"/>
  <c r="O96" i="10" s="1"/>
  <c r="AB96" i="10" s="1"/>
  <c r="AC96" i="10" s="1"/>
  <c r="F96" i="10"/>
  <c r="H95" i="10"/>
  <c r="M95" i="10" s="1"/>
  <c r="AB95" i="10" s="1"/>
  <c r="AC95" i="10" s="1"/>
  <c r="F95" i="10"/>
  <c r="I94" i="10"/>
  <c r="AB94" i="10" s="1"/>
  <c r="AC94" i="10" s="1"/>
  <c r="H93" i="10"/>
  <c r="P93" i="10" s="1"/>
  <c r="AB93" i="10" s="1"/>
  <c r="AC93" i="10" s="1"/>
  <c r="F93" i="10"/>
  <c r="AB92" i="10"/>
  <c r="AC92" i="10" s="1"/>
  <c r="H91" i="10"/>
  <c r="I91" i="10" s="1"/>
  <c r="AB91" i="10" s="1"/>
  <c r="AC91" i="10" s="1"/>
  <c r="F91" i="10"/>
  <c r="H90" i="10"/>
  <c r="I90" i="10" s="1"/>
  <c r="AB90" i="10" s="1"/>
  <c r="AC90" i="10" s="1"/>
  <c r="F90" i="10"/>
  <c r="AB89" i="10"/>
  <c r="AC89" i="10" s="1"/>
  <c r="AB88" i="10"/>
  <c r="AC88" i="10" s="1"/>
  <c r="AB87" i="10"/>
  <c r="AC87" i="10" s="1"/>
  <c r="H86" i="10"/>
  <c r="I86" i="10" s="1"/>
  <c r="AB86" i="10" s="1"/>
  <c r="AC86" i="10" s="1"/>
  <c r="F86" i="10"/>
  <c r="H85" i="10"/>
  <c r="I85" i="10" s="1"/>
  <c r="AB85" i="10" s="1"/>
  <c r="AC85" i="10" s="1"/>
  <c r="F85" i="10"/>
  <c r="I84" i="10"/>
  <c r="AB84" i="10" s="1"/>
  <c r="AC84" i="10" s="1"/>
  <c r="I83" i="10"/>
  <c r="AB83" i="10" s="1"/>
  <c r="AC83" i="10" s="1"/>
  <c r="I82" i="10"/>
  <c r="AB82" i="10" s="1"/>
  <c r="AC82" i="10" s="1"/>
  <c r="I81" i="10"/>
  <c r="AB81" i="10" s="1"/>
  <c r="AC81" i="10" s="1"/>
  <c r="H80" i="10"/>
  <c r="Q80" i="10" s="1"/>
  <c r="AB80" i="10" s="1"/>
  <c r="AC80" i="10" s="1"/>
  <c r="F80" i="10"/>
  <c r="AB79" i="10"/>
  <c r="AC79" i="10" s="1"/>
  <c r="H78" i="10"/>
  <c r="O78" i="10" s="1"/>
  <c r="AB78" i="10" s="1"/>
  <c r="AC78" i="10" s="1"/>
  <c r="F78" i="10"/>
  <c r="H77" i="10"/>
  <c r="O77" i="10" s="1"/>
  <c r="AB77" i="10" s="1"/>
  <c r="AC77" i="10" s="1"/>
  <c r="F77" i="10"/>
  <c r="M76" i="10"/>
  <c r="AB76" i="10" s="1"/>
  <c r="AC76" i="10" s="1"/>
  <c r="H76" i="10"/>
  <c r="F76" i="10"/>
  <c r="AB75" i="10"/>
  <c r="AC75" i="10" s="1"/>
  <c r="H74" i="10"/>
  <c r="I74" i="10" s="1"/>
  <c r="AB74" i="10" s="1"/>
  <c r="AC74" i="10" s="1"/>
  <c r="F74" i="10"/>
  <c r="H73" i="10"/>
  <c r="O73" i="10" s="1"/>
  <c r="AB73" i="10" s="1"/>
  <c r="AC73" i="10" s="1"/>
  <c r="F73" i="10"/>
  <c r="H72" i="10"/>
  <c r="M72" i="10" s="1"/>
  <c r="AB72" i="10" s="1"/>
  <c r="AC72" i="10" s="1"/>
  <c r="F72" i="10"/>
  <c r="I71" i="10"/>
  <c r="AB71" i="10" s="1"/>
  <c r="AC71" i="10" s="1"/>
  <c r="AB70" i="10"/>
  <c r="AC70" i="10" s="1"/>
  <c r="I70" i="10"/>
  <c r="I69" i="10"/>
  <c r="AB69" i="10" s="1"/>
  <c r="AC69" i="10" s="1"/>
  <c r="I68" i="10"/>
  <c r="AB68" i="10" s="1"/>
  <c r="AC68" i="10" s="1"/>
  <c r="H67" i="10"/>
  <c r="K67" i="10" s="1"/>
  <c r="AB67" i="10" s="1"/>
  <c r="AC67" i="10" s="1"/>
  <c r="F67" i="10"/>
  <c r="H66" i="10"/>
  <c r="P66" i="10" s="1"/>
  <c r="AB66" i="10" s="1"/>
  <c r="AC66" i="10" s="1"/>
  <c r="F66" i="10"/>
  <c r="N65" i="10"/>
  <c r="AB65" i="10" s="1"/>
  <c r="AC65" i="10" s="1"/>
  <c r="H65" i="10"/>
  <c r="F65" i="10"/>
  <c r="H64" i="10"/>
  <c r="M64" i="10" s="1"/>
  <c r="AB64" i="10" s="1"/>
  <c r="AC64" i="10" s="1"/>
  <c r="F64" i="10"/>
  <c r="H63" i="10"/>
  <c r="M63" i="10" s="1"/>
  <c r="AB63" i="10" s="1"/>
  <c r="AC63" i="10" s="1"/>
  <c r="F63" i="10"/>
  <c r="H62" i="10"/>
  <c r="I62" i="10" s="1"/>
  <c r="AB62" i="10" s="1"/>
  <c r="AC62" i="10" s="1"/>
  <c r="F62" i="10"/>
  <c r="M61" i="10"/>
  <c r="AB61" i="10" s="1"/>
  <c r="AC61" i="10" s="1"/>
  <c r="H61" i="10"/>
  <c r="F61" i="10"/>
  <c r="H60" i="10"/>
  <c r="M60" i="10" s="1"/>
  <c r="AB60" i="10" s="1"/>
  <c r="AC60" i="10" s="1"/>
  <c r="F60" i="10"/>
  <c r="I59" i="10"/>
  <c r="AB59" i="10" s="1"/>
  <c r="AC59" i="10" s="1"/>
  <c r="I58" i="10"/>
  <c r="AB58" i="10" s="1"/>
  <c r="AC58" i="10" s="1"/>
  <c r="AB57" i="10"/>
  <c r="AC57" i="10" s="1"/>
  <c r="AB56" i="10"/>
  <c r="AC56" i="10" s="1"/>
  <c r="AB55" i="10"/>
  <c r="AC55" i="10" s="1"/>
  <c r="H54" i="10"/>
  <c r="M54" i="10" s="1"/>
  <c r="AB54" i="10" s="1"/>
  <c r="AC54" i="10" s="1"/>
  <c r="F54" i="10"/>
  <c r="H53" i="10"/>
  <c r="K53" i="10" s="1"/>
  <c r="AB53" i="10" s="1"/>
  <c r="AC53" i="10" s="1"/>
  <c r="F53" i="10"/>
  <c r="H52" i="10"/>
  <c r="I52" i="10" s="1"/>
  <c r="AB52" i="10" s="1"/>
  <c r="AC52" i="10" s="1"/>
  <c r="F52" i="10"/>
  <c r="H51" i="10"/>
  <c r="I51" i="10" s="1"/>
  <c r="AB51" i="10" s="1"/>
  <c r="AC51" i="10" s="1"/>
  <c r="F51" i="10"/>
  <c r="AB50" i="10"/>
  <c r="H50" i="10"/>
  <c r="F50" i="10"/>
  <c r="H49" i="10"/>
  <c r="K49" i="10" s="1"/>
  <c r="AB49" i="10" s="1"/>
  <c r="AC49" i="10" s="1"/>
  <c r="F49" i="10"/>
  <c r="AB48" i="10"/>
  <c r="AC48" i="10" s="1"/>
  <c r="I47" i="10"/>
  <c r="AB47" i="10" s="1"/>
  <c r="AC47" i="10" s="1"/>
  <c r="I46" i="10"/>
  <c r="AB46" i="10" s="1"/>
  <c r="AC46" i="10" s="1"/>
  <c r="I45" i="10"/>
  <c r="AB45" i="10" s="1"/>
  <c r="AC45" i="10" s="1"/>
  <c r="I44" i="10"/>
  <c r="AB44" i="10" s="1"/>
  <c r="AC44" i="10" s="1"/>
  <c r="I43" i="10"/>
  <c r="AB43" i="10" s="1"/>
  <c r="AC43" i="10" s="1"/>
  <c r="I42" i="10"/>
  <c r="AB42" i="10" s="1"/>
  <c r="AC42" i="10" s="1"/>
  <c r="I41" i="10"/>
  <c r="AB41" i="10" s="1"/>
  <c r="AC41" i="10" s="1"/>
  <c r="I40" i="10"/>
  <c r="AB40" i="10" s="1"/>
  <c r="AC40" i="10" s="1"/>
  <c r="I39" i="10"/>
  <c r="AB39" i="10" s="1"/>
  <c r="AC39" i="10" s="1"/>
  <c r="I38" i="10"/>
  <c r="AB38" i="10" s="1"/>
  <c r="AC38" i="10" s="1"/>
  <c r="I37" i="10"/>
  <c r="AB37" i="10" s="1"/>
  <c r="AC37" i="10" s="1"/>
  <c r="I36" i="10"/>
  <c r="AB36" i="10" s="1"/>
  <c r="AC36" i="10" s="1"/>
  <c r="I35" i="10"/>
  <c r="AB35" i="10" s="1"/>
  <c r="AC35" i="10" s="1"/>
  <c r="I34" i="10"/>
  <c r="AB34" i="10" s="1"/>
  <c r="AC34" i="10" s="1"/>
  <c r="I33" i="10"/>
  <c r="AB33" i="10" s="1"/>
  <c r="AC33" i="10" s="1"/>
  <c r="I32" i="10"/>
  <c r="AB32" i="10" s="1"/>
  <c r="AC32" i="10" s="1"/>
  <c r="AB31" i="10"/>
  <c r="AC31" i="10" s="1"/>
  <c r="H30" i="10"/>
  <c r="O30" i="10" s="1"/>
  <c r="AB30" i="10" s="1"/>
  <c r="AC30" i="10" s="1"/>
  <c r="F30" i="10"/>
  <c r="H29" i="10"/>
  <c r="I29" i="10" s="1"/>
  <c r="AB29" i="10" s="1"/>
  <c r="AC29" i="10" s="1"/>
  <c r="F29" i="10"/>
  <c r="AB28" i="10"/>
  <c r="AC28" i="10" s="1"/>
  <c r="H27" i="10"/>
  <c r="K27" i="10" s="1"/>
  <c r="AB27" i="10" s="1"/>
  <c r="AC27" i="10" s="1"/>
  <c r="F27" i="10"/>
  <c r="I26" i="10"/>
  <c r="AB26" i="10" s="1"/>
  <c r="AC26" i="10" s="1"/>
  <c r="I25" i="10"/>
  <c r="AB25" i="10" s="1"/>
  <c r="AC25" i="10" s="1"/>
  <c r="I24" i="10"/>
  <c r="AB24" i="10" s="1"/>
  <c r="AC24" i="10" s="1"/>
  <c r="I23" i="10"/>
  <c r="AB23" i="10" s="1"/>
  <c r="AC23" i="10" s="1"/>
  <c r="I22" i="10"/>
  <c r="AB22" i="10" s="1"/>
  <c r="AC22" i="10" s="1"/>
  <c r="I21" i="10"/>
  <c r="AB21" i="10" s="1"/>
  <c r="AC21" i="10" s="1"/>
  <c r="I20" i="10"/>
  <c r="AB20" i="10" s="1"/>
  <c r="AC20" i="10" s="1"/>
  <c r="H19" i="10"/>
  <c r="O19" i="10" s="1"/>
  <c r="AB19" i="10" s="1"/>
  <c r="AC19" i="10" s="1"/>
  <c r="F19" i="10"/>
  <c r="H18" i="10"/>
  <c r="I18" i="10" s="1"/>
  <c r="AB18" i="10" s="1"/>
  <c r="AC18" i="10" s="1"/>
  <c r="F18" i="10"/>
  <c r="H17" i="10"/>
  <c r="I17" i="10" s="1"/>
  <c r="AB17" i="10" s="1"/>
  <c r="AC17" i="10" s="1"/>
  <c r="F17" i="10"/>
  <c r="J16" i="10"/>
  <c r="AB16" i="10" s="1"/>
  <c r="AC16" i="10" s="1"/>
  <c r="H15" i="10"/>
  <c r="J15" i="10" s="1"/>
  <c r="AB15" i="10" s="1"/>
  <c r="AC15" i="10" s="1"/>
  <c r="F15" i="10"/>
  <c r="H14" i="10"/>
  <c r="F14" i="10"/>
  <c r="H13" i="10"/>
  <c r="O13" i="10" s="1"/>
  <c r="AB13" i="10" s="1"/>
  <c r="AC13" i="10" s="1"/>
  <c r="F13" i="10"/>
  <c r="H12" i="10"/>
  <c r="I12" i="10" s="1"/>
  <c r="AB12" i="10" s="1"/>
  <c r="AC12" i="10" s="1"/>
  <c r="F12" i="10"/>
  <c r="H11" i="10"/>
  <c r="I11" i="10" s="1"/>
  <c r="AB11" i="10" s="1"/>
  <c r="AC11" i="10" s="1"/>
  <c r="F11" i="10"/>
  <c r="AB10" i="10"/>
  <c r="AC10" i="10" s="1"/>
  <c r="I9" i="10"/>
  <c r="AB9" i="10" s="1"/>
  <c r="AC9" i="10" s="1"/>
  <c r="I8" i="10"/>
  <c r="AB8" i="10" s="1"/>
  <c r="AC8" i="10" s="1"/>
  <c r="I7" i="10"/>
  <c r="AB7" i="10" s="1"/>
  <c r="AC7" i="10" s="1"/>
  <c r="I6" i="10"/>
  <c r="N144" i="9"/>
  <c r="AB144" i="9" s="1"/>
  <c r="AC144" i="9" s="1"/>
  <c r="AB142" i="9"/>
  <c r="AB137" i="9"/>
  <c r="AB135" i="9"/>
  <c r="AB134" i="9"/>
  <c r="AB133" i="9"/>
  <c r="AB132" i="9"/>
  <c r="AC132" i="9" s="1"/>
  <c r="AB131" i="9"/>
  <c r="AC131" i="9" s="1"/>
  <c r="AB130" i="9"/>
  <c r="AC130" i="9" s="1"/>
  <c r="AB129" i="9"/>
  <c r="AB127" i="9"/>
  <c r="AB126" i="9"/>
  <c r="AC126" i="9" s="1"/>
  <c r="AB125" i="9"/>
  <c r="AC125" i="9" s="1"/>
  <c r="AB124" i="9"/>
  <c r="AB123" i="9"/>
  <c r="AB122" i="9"/>
  <c r="AC122" i="9" s="1"/>
  <c r="AB121" i="9"/>
  <c r="AC121" i="9" s="1"/>
  <c r="AB120" i="9"/>
  <c r="AC120" i="9" s="1"/>
  <c r="AB119" i="9"/>
  <c r="AC119" i="9" s="1"/>
  <c r="P117" i="9"/>
  <c r="AB117" i="9" s="1"/>
  <c r="AC117" i="9" s="1"/>
  <c r="P116" i="9"/>
  <c r="AB116" i="9" s="1"/>
  <c r="AC116" i="9" s="1"/>
  <c r="AB115" i="9"/>
  <c r="AC115" i="9" s="1"/>
  <c r="AB114" i="9"/>
  <c r="AC114" i="9" s="1"/>
  <c r="O109" i="9"/>
  <c r="AB109" i="9" s="1"/>
  <c r="AC109" i="9" s="1"/>
  <c r="I107" i="9"/>
  <c r="AB107" i="9" s="1"/>
  <c r="AC107" i="9" s="1"/>
  <c r="I106" i="9"/>
  <c r="AB106" i="9" s="1"/>
  <c r="AC106" i="9" s="1"/>
  <c r="O104" i="9"/>
  <c r="AB104" i="9" s="1"/>
  <c r="AC104" i="9" s="1"/>
  <c r="AB102" i="9"/>
  <c r="AC102" i="9" s="1"/>
  <c r="I101" i="9"/>
  <c r="AB101" i="9" s="1"/>
  <c r="AC101" i="9" s="1"/>
  <c r="AB100" i="9"/>
  <c r="AC100" i="9" s="1"/>
  <c r="I99" i="9"/>
  <c r="AB99" i="9" s="1"/>
  <c r="AC99" i="9" s="1"/>
  <c r="AB98" i="9"/>
  <c r="AC98" i="9" s="1"/>
  <c r="AB97" i="9"/>
  <c r="AC97" i="9" s="1"/>
  <c r="AB96" i="9"/>
  <c r="AC96" i="9" s="1"/>
  <c r="AB95" i="9"/>
  <c r="AC95" i="9" s="1"/>
  <c r="AB94" i="9"/>
  <c r="AB93" i="9"/>
  <c r="I91" i="9"/>
  <c r="AB91" i="9" s="1"/>
  <c r="AC91" i="9" s="1"/>
  <c r="AB90" i="9"/>
  <c r="N87" i="9"/>
  <c r="AB87" i="9" s="1"/>
  <c r="AC87" i="9" s="1"/>
  <c r="M85" i="9"/>
  <c r="AB85" i="9" s="1"/>
  <c r="AC85" i="9" s="1"/>
  <c r="N78" i="9"/>
  <c r="AB78" i="9" s="1"/>
  <c r="AC78" i="9" s="1"/>
  <c r="AB73" i="9"/>
  <c r="AC73" i="9" s="1"/>
  <c r="K70" i="9"/>
  <c r="AB70" i="9" s="1"/>
  <c r="AC70" i="9" s="1"/>
  <c r="M69" i="9"/>
  <c r="AB69" i="9" s="1"/>
  <c r="AC69" i="9" s="1"/>
  <c r="I67" i="9"/>
  <c r="AB67" i="9" s="1"/>
  <c r="AC67" i="9" s="1"/>
  <c r="I66" i="9"/>
  <c r="AB66" i="9" s="1"/>
  <c r="AC66" i="9" s="1"/>
  <c r="AB60" i="9"/>
  <c r="AC60" i="9" s="1"/>
  <c r="I56" i="9"/>
  <c r="AB56" i="9" s="1"/>
  <c r="AC56" i="9" s="1"/>
  <c r="I55" i="9"/>
  <c r="AB55" i="9" s="1"/>
  <c r="AC55" i="9" s="1"/>
  <c r="AB54" i="9"/>
  <c r="AC54" i="9" s="1"/>
  <c r="I52" i="9"/>
  <c r="AB52" i="9" s="1"/>
  <c r="AC52" i="9" s="1"/>
  <c r="K51" i="9"/>
  <c r="AB51" i="9" s="1"/>
  <c r="AC51" i="9" s="1"/>
  <c r="AB39" i="9"/>
  <c r="AC39" i="9" s="1"/>
  <c r="I38" i="9"/>
  <c r="AB38" i="9" s="1"/>
  <c r="AC38" i="9" s="1"/>
  <c r="AB37" i="9"/>
  <c r="AB35" i="9"/>
  <c r="AB34" i="9"/>
  <c r="AC34" i="9" s="1"/>
  <c r="AB33" i="9"/>
  <c r="AC33" i="9" s="1"/>
  <c r="AB32" i="9"/>
  <c r="AC32" i="9" s="1"/>
  <c r="K27" i="9"/>
  <c r="AB27" i="9" s="1"/>
  <c r="AC27" i="9" s="1"/>
  <c r="H14" i="9"/>
  <c r="P14" i="9" s="1"/>
  <c r="AB14" i="9" s="1"/>
  <c r="AC14" i="9" s="1"/>
  <c r="AB6" i="9"/>
  <c r="AB144" i="18"/>
  <c r="AB142" i="18"/>
  <c r="AB141" i="18"/>
  <c r="AC141" i="18" s="1"/>
  <c r="I55" i="18"/>
  <c r="AB140" i="18"/>
  <c r="H112" i="18"/>
  <c r="AB139" i="18"/>
  <c r="AB138" i="18"/>
  <c r="AB137" i="18"/>
  <c r="H111" i="18"/>
  <c r="AB136" i="18"/>
  <c r="AC136" i="18" s="1"/>
  <c r="H144" i="18"/>
  <c r="AB135" i="18"/>
  <c r="AB134" i="18"/>
  <c r="AC134" i="18" s="1"/>
  <c r="H104" i="18"/>
  <c r="O104" i="18" s="1"/>
  <c r="AB133" i="18" s="1"/>
  <c r="AC133" i="18" s="1"/>
  <c r="AB132" i="18"/>
  <c r="AC132" i="18" s="1"/>
  <c r="AB131" i="18"/>
  <c r="AC131" i="18" s="1"/>
  <c r="M84" i="18"/>
  <c r="I54" i="18"/>
  <c r="AB129" i="18" s="1"/>
  <c r="AC129" i="18" s="1"/>
  <c r="AB128" i="18"/>
  <c r="AC128" i="18" s="1"/>
  <c r="I100" i="18"/>
  <c r="H117" i="18"/>
  <c r="O117" i="18" s="1"/>
  <c r="AC126" i="18"/>
  <c r="AB126" i="18"/>
  <c r="H78" i="18"/>
  <c r="N78" i="18" s="1"/>
  <c r="H103" i="18"/>
  <c r="O103" i="18" s="1"/>
  <c r="AB123" i="18" s="1"/>
  <c r="AC123" i="18" s="1"/>
  <c r="AB122" i="18"/>
  <c r="AC122" i="18" s="1"/>
  <c r="AB121" i="18"/>
  <c r="AC121" i="18" s="1"/>
  <c r="I66" i="18"/>
  <c r="I98" i="18"/>
  <c r="AB120" i="18" s="1"/>
  <c r="AC120" i="18" s="1"/>
  <c r="I90" i="18"/>
  <c r="AB118" i="18"/>
  <c r="AC118" i="18" s="1"/>
  <c r="H29" i="18"/>
  <c r="H88" i="18"/>
  <c r="N88" i="18" s="1"/>
  <c r="H19" i="18"/>
  <c r="P19" i="18" s="1"/>
  <c r="H62" i="18"/>
  <c r="I62" i="18" s="1"/>
  <c r="H87" i="18"/>
  <c r="N87" i="18" s="1"/>
  <c r="AB113" i="18" s="1"/>
  <c r="AC113" i="18" s="1"/>
  <c r="H10" i="18"/>
  <c r="I10" i="18" s="1"/>
  <c r="AB112" i="18" s="1"/>
  <c r="AC112" i="18" s="1"/>
  <c r="H143" i="18"/>
  <c r="N143" i="18" s="1"/>
  <c r="AB111" i="18" s="1"/>
  <c r="AC111" i="18" s="1"/>
  <c r="AB110" i="18"/>
  <c r="H110" i="18"/>
  <c r="H77" i="18"/>
  <c r="N77" i="18" s="1"/>
  <c r="AB108" i="18" s="1"/>
  <c r="AC108" i="18" s="1"/>
  <c r="AB106" i="18"/>
  <c r="AC106" i="18" s="1"/>
  <c r="H12" i="18"/>
  <c r="M12" i="18" s="1"/>
  <c r="H52" i="18"/>
  <c r="K52" i="18" s="1"/>
  <c r="H142" i="18"/>
  <c r="H51" i="18"/>
  <c r="I51" i="18" s="1"/>
  <c r="H28" i="18"/>
  <c r="P28" i="18" s="1"/>
  <c r="AB100" i="18" s="1"/>
  <c r="AC100" i="18" s="1"/>
  <c r="H79" i="18"/>
  <c r="K79" i="18" s="1"/>
  <c r="P116" i="18"/>
  <c r="H116" i="18"/>
  <c r="H102" i="18"/>
  <c r="O102" i="18" s="1"/>
  <c r="AB95" i="18" s="1"/>
  <c r="AC95" i="18" s="1"/>
  <c r="H73" i="18"/>
  <c r="K73" i="18" s="1"/>
  <c r="AB94" i="18" s="1"/>
  <c r="AC94" i="18" s="1"/>
  <c r="H74" i="18"/>
  <c r="P74" i="18" s="1"/>
  <c r="AB93" i="18" s="1"/>
  <c r="H27" i="18"/>
  <c r="P27" i="18" s="1"/>
  <c r="AB92" i="18" s="1"/>
  <c r="AC92" i="18" s="1"/>
  <c r="H109" i="18"/>
  <c r="P109" i="18" s="1"/>
  <c r="AB109" i="18" s="1"/>
  <c r="AC109" i="18" s="1"/>
  <c r="P30" i="18"/>
  <c r="H30" i="18"/>
  <c r="H108" i="18"/>
  <c r="O108" i="18" s="1"/>
  <c r="H63" i="18"/>
  <c r="K63" i="18" s="1"/>
  <c r="AB87" i="18" s="1"/>
  <c r="AC87" i="18" s="1"/>
  <c r="H18" i="18"/>
  <c r="H86" i="18"/>
  <c r="N86" i="18" s="1"/>
  <c r="AB86" i="18" s="1"/>
  <c r="AC86" i="18" s="1"/>
  <c r="H71" i="18"/>
  <c r="H85" i="18"/>
  <c r="H50" i="18"/>
  <c r="K50" i="18" s="1"/>
  <c r="H58" i="18"/>
  <c r="P58" i="18" s="1"/>
  <c r="AB78" i="18" s="1"/>
  <c r="AC78" i="18" s="1"/>
  <c r="H57" i="18"/>
  <c r="P57" i="18" s="1"/>
  <c r="AB82" i="18" s="1"/>
  <c r="AC82" i="18" s="1"/>
  <c r="H76" i="18"/>
  <c r="P76" i="18" s="1"/>
  <c r="AB98" i="18" s="1"/>
  <c r="AC98" i="18" s="1"/>
  <c r="H83" i="18"/>
  <c r="P83" i="18" s="1"/>
  <c r="H91" i="18"/>
  <c r="P91" i="18" s="1"/>
  <c r="AB73" i="18"/>
  <c r="AC73" i="18" s="1"/>
  <c r="I65" i="18"/>
  <c r="AB72" i="18" s="1"/>
  <c r="M68" i="18"/>
  <c r="H56" i="18"/>
  <c r="H49" i="18"/>
  <c r="K49" i="18" s="1"/>
  <c r="AB69" i="18" s="1"/>
  <c r="AB68" i="18"/>
  <c r="H70" i="18"/>
  <c r="K70" i="18" s="1"/>
  <c r="H26" i="18"/>
  <c r="K26" i="18" s="1"/>
  <c r="AB66" i="18" s="1"/>
  <c r="AC66" i="18" s="1"/>
  <c r="H9" i="18"/>
  <c r="P9" i="18" s="1"/>
  <c r="H17" i="18"/>
  <c r="K17" i="18" s="1"/>
  <c r="AB62" i="18"/>
  <c r="AC62" i="18" s="1"/>
  <c r="H107" i="18"/>
  <c r="P107" i="18" s="1"/>
  <c r="I106" i="18"/>
  <c r="AB59" i="18"/>
  <c r="AC59" i="18" s="1"/>
  <c r="H16" i="18"/>
  <c r="H15" i="18"/>
  <c r="O15" i="18" s="1"/>
  <c r="H48" i="18"/>
  <c r="I48" i="18" s="1"/>
  <c r="H75" i="18"/>
  <c r="N75" i="18" s="1"/>
  <c r="H115" i="18"/>
  <c r="P115" i="18" s="1"/>
  <c r="AB115" i="18" s="1"/>
  <c r="AC115" i="18" s="1"/>
  <c r="H25" i="18"/>
  <c r="M25" i="18" s="1"/>
  <c r="AB25" i="18" s="1"/>
  <c r="AC25" i="18" s="1"/>
  <c r="H47" i="18"/>
  <c r="H127" i="18"/>
  <c r="K127" i="18" s="1"/>
  <c r="H11" i="18"/>
  <c r="P11" i="18" s="1"/>
  <c r="H35" i="18"/>
  <c r="P35" i="18" s="1"/>
  <c r="AB49" i="18" s="1"/>
  <c r="AC49" i="18" s="1"/>
  <c r="AB48" i="18"/>
  <c r="AC48" i="18" s="1"/>
  <c r="H46" i="18"/>
  <c r="P46" i="18" s="1"/>
  <c r="H64" i="18"/>
  <c r="P64" i="18" s="1"/>
  <c r="H67" i="18"/>
  <c r="P67" i="18" s="1"/>
  <c r="AB89" i="18" s="1"/>
  <c r="AC89" i="18" s="1"/>
  <c r="H82" i="18"/>
  <c r="K82" i="18" s="1"/>
  <c r="M61" i="18"/>
  <c r="H61" i="18"/>
  <c r="H69" i="18"/>
  <c r="K69" i="18" s="1"/>
  <c r="H14" i="18"/>
  <c r="M14" i="18" s="1"/>
  <c r="AB38" i="18"/>
  <c r="H45" i="18"/>
  <c r="AC38" i="18" s="1"/>
  <c r="H24" i="18"/>
  <c r="I24" i="18" s="1"/>
  <c r="AB37" i="18" s="1"/>
  <c r="AC37" i="18" s="1"/>
  <c r="AB36" i="18"/>
  <c r="AC36" i="18" s="1"/>
  <c r="I37" i="18"/>
  <c r="H23" i="18"/>
  <c r="M23" i="18" s="1"/>
  <c r="H60" i="18"/>
  <c r="I60" i="18" s="1"/>
  <c r="AB60" i="18" s="1"/>
  <c r="AC60" i="18" s="1"/>
  <c r="H8" i="18"/>
  <c r="O8" i="18" s="1"/>
  <c r="H7" i="18"/>
  <c r="P7" i="18" s="1"/>
  <c r="AB32" i="18" s="1"/>
  <c r="AC32" i="18" s="1"/>
  <c r="H6" i="18"/>
  <c r="P6" i="18" s="1"/>
  <c r="AB31" i="18" s="1"/>
  <c r="AC31" i="18" s="1"/>
  <c r="H13" i="18"/>
  <c r="P13" i="18" s="1"/>
  <c r="AB29" i="18"/>
  <c r="AC29" i="18" s="1"/>
  <c r="AB28" i="18"/>
  <c r="H140" i="18"/>
  <c r="AB27" i="18"/>
  <c r="AC27" i="18" s="1"/>
  <c r="H139" i="18"/>
  <c r="H44" i="18"/>
  <c r="I105" i="18"/>
  <c r="AB26" i="18" s="1"/>
  <c r="AC26" i="18" s="1"/>
  <c r="H81" i="18"/>
  <c r="K81" i="18" s="1"/>
  <c r="AB81" i="18" s="1"/>
  <c r="H138" i="18"/>
  <c r="H137" i="18"/>
  <c r="H43" i="18"/>
  <c r="P43" i="18" s="1"/>
  <c r="AB43" i="18" s="1"/>
  <c r="AC43" i="18" s="1"/>
  <c r="H22" i="18"/>
  <c r="I22" i="18" s="1"/>
  <c r="AB20" i="18" s="1"/>
  <c r="AC20" i="18" s="1"/>
  <c r="AB18" i="18"/>
  <c r="H135" i="18"/>
  <c r="H42" i="18"/>
  <c r="P42" i="18" s="1"/>
  <c r="AB17" i="18" s="1"/>
  <c r="AC17" i="18" s="1"/>
  <c r="AB16" i="18"/>
  <c r="AC16" i="18" s="1"/>
  <c r="H41" i="18"/>
  <c r="AB15" i="18"/>
  <c r="AC15" i="18" s="1"/>
  <c r="H40" i="18"/>
  <c r="H20" i="18"/>
  <c r="K20" i="18" s="1"/>
  <c r="AB12" i="18"/>
  <c r="AC12" i="18" s="1"/>
  <c r="H80" i="18"/>
  <c r="M80" i="18" s="1"/>
  <c r="AB11" i="18" s="1"/>
  <c r="AC11" i="18" s="1"/>
  <c r="H39" i="18"/>
  <c r="I39" i="18" s="1"/>
  <c r="H21" i="18"/>
  <c r="I21" i="18" s="1"/>
  <c r="AB9" i="18" s="1"/>
  <c r="AC9" i="18" s="1"/>
  <c r="AB5" i="18"/>
  <c r="AC5" i="18" s="1"/>
  <c r="H255" i="17"/>
  <c r="H253" i="17"/>
  <c r="M253" i="17" s="1"/>
  <c r="AB253" i="17" s="1"/>
  <c r="H250" i="17"/>
  <c r="H252" i="17"/>
  <c r="P252" i="17" s="1"/>
  <c r="H251" i="17"/>
  <c r="H248" i="17"/>
  <c r="H247" i="17"/>
  <c r="N247" i="17" s="1"/>
  <c r="AB247" i="17" s="1"/>
  <c r="H243" i="17"/>
  <c r="I243" i="17" s="1"/>
  <c r="AB243" i="17" s="1"/>
  <c r="AC243" i="17" s="1"/>
  <c r="H244" i="17"/>
  <c r="H236" i="17"/>
  <c r="K236" i="17" s="1"/>
  <c r="AB236" i="17" s="1"/>
  <c r="H241" i="17"/>
  <c r="H235" i="17"/>
  <c r="I235" i="17" s="1"/>
  <c r="AB235" i="17" s="1"/>
  <c r="H237" i="17"/>
  <c r="K237" i="17" s="1"/>
  <c r="AB237" i="17" s="1"/>
  <c r="H239" i="17"/>
  <c r="I239" i="17" s="1"/>
  <c r="AB239" i="17" s="1"/>
  <c r="H242" i="17"/>
  <c r="N242" i="17" s="1"/>
  <c r="AB242" i="17" s="1"/>
  <c r="H240" i="17"/>
  <c r="H238" i="17"/>
  <c r="M238" i="17" s="1"/>
  <c r="AB238" i="17" s="1"/>
  <c r="H230" i="17"/>
  <c r="H232" i="17"/>
  <c r="O232" i="17" s="1"/>
  <c r="AB232" i="17" s="1"/>
  <c r="H231" i="17"/>
  <c r="H228" i="17"/>
  <c r="H225" i="17"/>
  <c r="H222" i="17"/>
  <c r="H224" i="17"/>
  <c r="L224" i="17" s="1"/>
  <c r="H221" i="17"/>
  <c r="H223" i="17"/>
  <c r="L223" i="17" s="1"/>
  <c r="AB223" i="17" s="1"/>
  <c r="H216" i="17"/>
  <c r="H201" i="17"/>
  <c r="H207" i="17"/>
  <c r="I207" i="17" s="1"/>
  <c r="AB207" i="17" s="1"/>
  <c r="H205" i="17"/>
  <c r="K205" i="17" s="1"/>
  <c r="AB205" i="17" s="1"/>
  <c r="H203" i="17"/>
  <c r="P203" i="17" s="1"/>
  <c r="H196" i="17"/>
  <c r="H195" i="17"/>
  <c r="M195" i="17" s="1"/>
  <c r="AB195" i="17" s="1"/>
  <c r="AC195" i="17" s="1"/>
  <c r="H189" i="17"/>
  <c r="K189" i="17" s="1"/>
  <c r="AB189" i="17" s="1"/>
  <c r="H187" i="17"/>
  <c r="H193" i="17"/>
  <c r="K193" i="17" s="1"/>
  <c r="AB193" i="17" s="1"/>
  <c r="H185" i="17"/>
  <c r="M185" i="17" s="1"/>
  <c r="AB185" i="17" s="1"/>
  <c r="H188" i="17"/>
  <c r="H191" i="17"/>
  <c r="M191" i="17" s="1"/>
  <c r="AB191" i="17" s="1"/>
  <c r="H194" i="17"/>
  <c r="O194" i="17" s="1"/>
  <c r="AB194" i="17" s="1"/>
  <c r="H184" i="17"/>
  <c r="I184" i="17" s="1"/>
  <c r="AB184" i="17" s="1"/>
  <c r="H190" i="17"/>
  <c r="I190" i="17" s="1"/>
  <c r="AB190" i="17" s="1"/>
  <c r="H186" i="17"/>
  <c r="H178" i="17"/>
  <c r="O178" i="17" s="1"/>
  <c r="AB178" i="17" s="1"/>
  <c r="H177" i="17"/>
  <c r="M177" i="17" s="1"/>
  <c r="AB177" i="17" s="1"/>
  <c r="H172" i="17"/>
  <c r="O172" i="17" s="1"/>
  <c r="AB172" i="17" s="1"/>
  <c r="H170" i="17"/>
  <c r="O170" i="17" s="1"/>
  <c r="AB170" i="17" s="1"/>
  <c r="AC170" i="17" s="1"/>
  <c r="H176" i="17"/>
  <c r="O176" i="17" s="1"/>
  <c r="AB176" i="17" s="1"/>
  <c r="H171" i="17"/>
  <c r="H173" i="17"/>
  <c r="H174" i="17"/>
  <c r="H165" i="17"/>
  <c r="O165" i="17" s="1"/>
  <c r="AB165" i="17" s="1"/>
  <c r="H164" i="17"/>
  <c r="H163" i="17"/>
  <c r="M163" i="17" s="1"/>
  <c r="AB163" i="17" s="1"/>
  <c r="AC163" i="17" s="1"/>
  <c r="H166" i="17"/>
  <c r="O166" i="17" s="1"/>
  <c r="AB166" i="17" s="1"/>
  <c r="H156" i="17"/>
  <c r="H157" i="17"/>
  <c r="H158" i="17"/>
  <c r="H159" i="17"/>
  <c r="O159" i="17" s="1"/>
  <c r="AB159" i="17" s="1"/>
  <c r="H148" i="17"/>
  <c r="H145" i="17"/>
  <c r="H146" i="17"/>
  <c r="H147" i="17"/>
  <c r="H149" i="17"/>
  <c r="H144" i="17"/>
  <c r="K144" i="17" s="1"/>
  <c r="AB144" i="17" s="1"/>
  <c r="H139" i="17"/>
  <c r="K139" i="17" s="1"/>
  <c r="AB139" i="17" s="1"/>
  <c r="H138" i="17"/>
  <c r="I138" i="17" s="1"/>
  <c r="AB138" i="17" s="1"/>
  <c r="AC138" i="17" s="1"/>
  <c r="H140" i="17"/>
  <c r="H136" i="17"/>
  <c r="I136" i="17" s="1"/>
  <c r="AB136" i="17" s="1"/>
  <c r="H119" i="17"/>
  <c r="I119" i="17" s="1"/>
  <c r="AB119" i="17" s="1"/>
  <c r="H124" i="17"/>
  <c r="O124" i="17" s="1"/>
  <c r="AB124" i="17" s="1"/>
  <c r="H123" i="17"/>
  <c r="O123" i="17" s="1"/>
  <c r="AB123" i="17" s="1"/>
  <c r="H121" i="17"/>
  <c r="I121" i="17" s="1"/>
  <c r="AB121" i="17" s="1"/>
  <c r="H122" i="17"/>
  <c r="N122" i="17" s="1"/>
  <c r="AB122" i="17" s="1"/>
  <c r="H120" i="17"/>
  <c r="M120" i="17" s="1"/>
  <c r="AB120" i="17" s="1"/>
  <c r="H127" i="17"/>
  <c r="N127" i="17" s="1"/>
  <c r="AB127" i="17" s="1"/>
  <c r="H105" i="17"/>
  <c r="I105" i="17" s="1"/>
  <c r="AB105" i="17" s="1"/>
  <c r="H106" i="17"/>
  <c r="I106" i="17" s="1"/>
  <c r="AB106" i="17" s="1"/>
  <c r="H107" i="17"/>
  <c r="N107" i="17" s="1"/>
  <c r="AB107" i="17" s="1"/>
  <c r="H103" i="17"/>
  <c r="N103" i="17" s="1"/>
  <c r="AB103" i="17" s="1"/>
  <c r="H104" i="17"/>
  <c r="H100" i="17"/>
  <c r="I100" i="17" s="1"/>
  <c r="AB100" i="17" s="1"/>
  <c r="H98" i="17"/>
  <c r="P98" i="17" s="1"/>
  <c r="AB98" i="17" s="1"/>
  <c r="H96" i="17"/>
  <c r="K96" i="17" s="1"/>
  <c r="AB96" i="17" s="1"/>
  <c r="H97" i="17"/>
  <c r="K97" i="17" s="1"/>
  <c r="AB97" i="17" s="1"/>
  <c r="H102" i="17"/>
  <c r="H93" i="17"/>
  <c r="M93" i="17" s="1"/>
  <c r="AB93" i="17" s="1"/>
  <c r="H92" i="17"/>
  <c r="O92" i="17" s="1"/>
  <c r="AB92" i="17" s="1"/>
  <c r="H91" i="17"/>
  <c r="H81" i="17"/>
  <c r="H82" i="17"/>
  <c r="I82" i="17" s="1"/>
  <c r="AB82" i="17" s="1"/>
  <c r="H89" i="17"/>
  <c r="H87" i="17"/>
  <c r="H86" i="17"/>
  <c r="I86" i="17" s="1"/>
  <c r="AB86" i="17" s="1"/>
  <c r="AC86" i="17" s="1"/>
  <c r="H76" i="17"/>
  <c r="H69" i="17"/>
  <c r="H74" i="17"/>
  <c r="H73" i="17"/>
  <c r="O73" i="17" s="1"/>
  <c r="AB73" i="17" s="1"/>
  <c r="H70" i="17"/>
  <c r="I70" i="17" s="1"/>
  <c r="AB70" i="17" s="1"/>
  <c r="AC70" i="17" s="1"/>
  <c r="H68" i="17"/>
  <c r="M68" i="17" s="1"/>
  <c r="AB68" i="17" s="1"/>
  <c r="H72" i="17"/>
  <c r="M72" i="17" s="1"/>
  <c r="AB72" i="17" s="1"/>
  <c r="H61" i="17"/>
  <c r="N61" i="17" s="1"/>
  <c r="AB61" i="17" s="1"/>
  <c r="H59" i="17"/>
  <c r="M59" i="17" s="1"/>
  <c r="AB59" i="17" s="1"/>
  <c r="H63" i="17"/>
  <c r="K63" i="17" s="1"/>
  <c r="AB63" i="17" s="1"/>
  <c r="H60" i="17"/>
  <c r="M60" i="17" s="1"/>
  <c r="AB60" i="17" s="1"/>
  <c r="H62" i="17"/>
  <c r="P62" i="17" s="1"/>
  <c r="H58" i="17"/>
  <c r="I58" i="17" s="1"/>
  <c r="AB58" i="17" s="1"/>
  <c r="H57" i="17"/>
  <c r="M57" i="17" s="1"/>
  <c r="H56" i="17"/>
  <c r="H47" i="17"/>
  <c r="I47" i="17" s="1"/>
  <c r="AB47" i="17" s="1"/>
  <c r="H48" i="17"/>
  <c r="H45" i="17"/>
  <c r="K45" i="17" s="1"/>
  <c r="AB45" i="17" s="1"/>
  <c r="H49" i="17"/>
  <c r="H50" i="17"/>
  <c r="M50" i="17" s="1"/>
  <c r="AB50" i="17" s="1"/>
  <c r="H46" i="17"/>
  <c r="H25" i="17"/>
  <c r="H23" i="17"/>
  <c r="K23" i="17" s="1"/>
  <c r="AB23" i="17" s="1"/>
  <c r="H26" i="17"/>
  <c r="O26" i="17" s="1"/>
  <c r="AB26" i="17" s="1"/>
  <c r="H15" i="17"/>
  <c r="O15" i="17" s="1"/>
  <c r="AB15" i="17" s="1"/>
  <c r="H14" i="17"/>
  <c r="I14" i="17" s="1"/>
  <c r="AB14" i="17" s="1"/>
  <c r="H13" i="17"/>
  <c r="H11" i="17"/>
  <c r="H9" i="17"/>
  <c r="O9" i="17" s="1"/>
  <c r="AB9" i="17" s="1"/>
  <c r="H10" i="17"/>
  <c r="K10" i="17" s="1"/>
  <c r="AB10" i="17" s="1"/>
  <c r="H8" i="17"/>
  <c r="H7" i="17"/>
  <c r="I16" i="17"/>
  <c r="AB16" i="17" s="1"/>
  <c r="AC16" i="17" s="1"/>
  <c r="I18" i="17"/>
  <c r="AB18" i="17" s="1"/>
  <c r="AC18" i="17" s="1"/>
  <c r="I20" i="17"/>
  <c r="AB20" i="17" s="1"/>
  <c r="AC20" i="17" s="1"/>
  <c r="I22" i="17"/>
  <c r="AB22" i="17" s="1"/>
  <c r="AC22" i="17" s="1"/>
  <c r="I29" i="17"/>
  <c r="AB29" i="17" s="1"/>
  <c r="AC29" i="17" s="1"/>
  <c r="I31" i="17"/>
  <c r="AB31" i="17" s="1"/>
  <c r="AC31" i="17" s="1"/>
  <c r="I33" i="17"/>
  <c r="AB33" i="17" s="1"/>
  <c r="AC33" i="17" s="1"/>
  <c r="N126" i="17"/>
  <c r="AB126" i="17" s="1"/>
  <c r="AC126" i="17" s="1"/>
  <c r="N129" i="17"/>
  <c r="AB129" i="17" s="1"/>
  <c r="AC129" i="17" s="1"/>
  <c r="N125" i="17"/>
  <c r="AB125" i="17" s="1"/>
  <c r="AC125" i="17" s="1"/>
  <c r="I153" i="17"/>
  <c r="AB153" i="17" s="1"/>
  <c r="AC153" i="17" s="1"/>
  <c r="I197" i="17"/>
  <c r="AB197" i="17" s="1"/>
  <c r="AC197" i="17" s="1"/>
  <c r="I198" i="17"/>
  <c r="AB198" i="17" s="1"/>
  <c r="AC198" i="17" s="1"/>
  <c r="K214" i="17"/>
  <c r="P229" i="17"/>
  <c r="I233" i="17"/>
  <c r="AB233" i="17" s="1"/>
  <c r="AC233" i="17" s="1"/>
  <c r="I246" i="17"/>
  <c r="AB246" i="17" s="1"/>
  <c r="AC246" i="17" s="1"/>
  <c r="H254" i="17"/>
  <c r="M256" i="17"/>
  <c r="AB256" i="17" s="1"/>
  <c r="I249" i="17"/>
  <c r="AB249" i="17" s="1"/>
  <c r="AC249" i="17" s="1"/>
  <c r="I245" i="17"/>
  <c r="AB245" i="17" s="1"/>
  <c r="AC245" i="17" s="1"/>
  <c r="I234" i="17"/>
  <c r="AB234" i="17" s="1"/>
  <c r="AC234" i="17" s="1"/>
  <c r="I227" i="17"/>
  <c r="AB227" i="17" s="1"/>
  <c r="AC227" i="17" s="1"/>
  <c r="I226" i="17"/>
  <c r="AB226" i="17" s="1"/>
  <c r="AC226" i="17" s="1"/>
  <c r="I220" i="17"/>
  <c r="AB220" i="17" s="1"/>
  <c r="AC220" i="17" s="1"/>
  <c r="I219" i="17"/>
  <c r="AB219" i="17" s="1"/>
  <c r="AC219" i="17" s="1"/>
  <c r="I218" i="17"/>
  <c r="AB218" i="17" s="1"/>
  <c r="AC218" i="17" s="1"/>
  <c r="I212" i="17"/>
  <c r="AB212" i="17" s="1"/>
  <c r="AC212" i="17" s="1"/>
  <c r="AB213" i="17"/>
  <c r="AC213" i="17" s="1"/>
  <c r="I211" i="17"/>
  <c r="AB211" i="17" s="1"/>
  <c r="AC211" i="17" s="1"/>
  <c r="AB217" i="17"/>
  <c r="I210" i="17"/>
  <c r="AB210" i="17" s="1"/>
  <c r="AC210" i="17" s="1"/>
  <c r="I209" i="17"/>
  <c r="AB209" i="17" s="1"/>
  <c r="AC209" i="17" s="1"/>
  <c r="I208" i="17"/>
  <c r="AB208" i="17" s="1"/>
  <c r="AC208" i="17" s="1"/>
  <c r="AB215" i="17"/>
  <c r="AC215" i="17" s="1"/>
  <c r="I200" i="17"/>
  <c r="AB200" i="17" s="1"/>
  <c r="AC200" i="17" s="1"/>
  <c r="AB206" i="17"/>
  <c r="AC206" i="17" s="1"/>
  <c r="AB204" i="17"/>
  <c r="AC204" i="17" s="1"/>
  <c r="I199" i="17"/>
  <c r="AB199" i="17" s="1"/>
  <c r="AC199" i="17" s="1"/>
  <c r="I202" i="17"/>
  <c r="AB202" i="17" s="1"/>
  <c r="AC202" i="17" s="1"/>
  <c r="I183" i="17"/>
  <c r="AB183" i="17" s="1"/>
  <c r="AC183" i="17" s="1"/>
  <c r="I182" i="17"/>
  <c r="AB182" i="17" s="1"/>
  <c r="AC182" i="17" s="1"/>
  <c r="I181" i="17"/>
  <c r="AB181" i="17" s="1"/>
  <c r="AC181" i="17" s="1"/>
  <c r="I180" i="17"/>
  <c r="AB180" i="17" s="1"/>
  <c r="AC180" i="17" s="1"/>
  <c r="AB192" i="17"/>
  <c r="AC192" i="17" s="1"/>
  <c r="I179" i="17"/>
  <c r="AB179" i="17" s="1"/>
  <c r="AC179" i="17" s="1"/>
  <c r="I169" i="17"/>
  <c r="AB169" i="17" s="1"/>
  <c r="AC169" i="17" s="1"/>
  <c r="I167" i="17"/>
  <c r="AB167" i="17" s="1"/>
  <c r="AC167" i="17" s="1"/>
  <c r="AB175" i="17"/>
  <c r="I168" i="17"/>
  <c r="AB168" i="17" s="1"/>
  <c r="AC168" i="17" s="1"/>
  <c r="AB162" i="17"/>
  <c r="AC162" i="17" s="1"/>
  <c r="I161" i="17"/>
  <c r="AB161" i="17" s="1"/>
  <c r="AC161" i="17" s="1"/>
  <c r="I160" i="17"/>
  <c r="AB160" i="17" s="1"/>
  <c r="AC160" i="17" s="1"/>
  <c r="I155" i="17"/>
  <c r="AB155" i="17" s="1"/>
  <c r="AC155" i="17" s="1"/>
  <c r="I154" i="17"/>
  <c r="AB154" i="17" s="1"/>
  <c r="AC154" i="17" s="1"/>
  <c r="AB152" i="17"/>
  <c r="AC152" i="17" s="1"/>
  <c r="I151" i="17"/>
  <c r="AB151" i="17" s="1"/>
  <c r="AC151" i="17" s="1"/>
  <c r="I150" i="17"/>
  <c r="AB150" i="17" s="1"/>
  <c r="AC150" i="17" s="1"/>
  <c r="AB141" i="17"/>
  <c r="AC141" i="17" s="1"/>
  <c r="I135" i="17"/>
  <c r="AB135" i="17" s="1"/>
  <c r="AC135" i="17" s="1"/>
  <c r="AB142" i="17"/>
  <c r="I134" i="17"/>
  <c r="AB134" i="17" s="1"/>
  <c r="AC134" i="17" s="1"/>
  <c r="AB137" i="17"/>
  <c r="AC137" i="17" s="1"/>
  <c r="I133" i="17"/>
  <c r="AB133" i="17" s="1"/>
  <c r="AC133" i="17" s="1"/>
  <c r="AB143" i="17"/>
  <c r="I132" i="17"/>
  <c r="AB132" i="17" s="1"/>
  <c r="AC132" i="17" s="1"/>
  <c r="I118" i="17"/>
  <c r="AB118" i="17" s="1"/>
  <c r="AC118" i="17" s="1"/>
  <c r="I117" i="17"/>
  <c r="AB117" i="17" s="1"/>
  <c r="AC117" i="17" s="1"/>
  <c r="AB130" i="17"/>
  <c r="AC130" i="17" s="1"/>
  <c r="I116" i="17"/>
  <c r="AB116" i="17" s="1"/>
  <c r="AC116" i="17" s="1"/>
  <c r="AB131" i="17"/>
  <c r="I115" i="17"/>
  <c r="AB115" i="17" s="1"/>
  <c r="AC115" i="17" s="1"/>
  <c r="AB128" i="17"/>
  <c r="AC128" i="17" s="1"/>
  <c r="I114" i="17"/>
  <c r="AB114" i="17" s="1"/>
  <c r="AC114" i="17" s="1"/>
  <c r="I113" i="17"/>
  <c r="AB113" i="17" s="1"/>
  <c r="AC113" i="17" s="1"/>
  <c r="I112" i="17"/>
  <c r="AB112" i="17" s="1"/>
  <c r="AC112" i="17" s="1"/>
  <c r="I111" i="17"/>
  <c r="AB111" i="17" s="1"/>
  <c r="AC111" i="17" s="1"/>
  <c r="I110" i="17"/>
  <c r="AB110" i="17" s="1"/>
  <c r="AC110" i="17" s="1"/>
  <c r="I109" i="17"/>
  <c r="AB109" i="17" s="1"/>
  <c r="AC109" i="17" s="1"/>
  <c r="I108" i="17"/>
  <c r="AB108" i="17" s="1"/>
  <c r="AC108" i="17" s="1"/>
  <c r="AB101" i="17"/>
  <c r="I95" i="17"/>
  <c r="AB95" i="17" s="1"/>
  <c r="AC95" i="17" s="1"/>
  <c r="AB99" i="17"/>
  <c r="AC99" i="17" s="1"/>
  <c r="I94" i="17"/>
  <c r="AB94" i="17" s="1"/>
  <c r="AC94" i="17" s="1"/>
  <c r="I90" i="17"/>
  <c r="AB90" i="17" s="1"/>
  <c r="AC90" i="17" s="1"/>
  <c r="AB88" i="17"/>
  <c r="AC88" i="17" s="1"/>
  <c r="I80" i="17"/>
  <c r="AB80" i="17" s="1"/>
  <c r="AC80" i="17" s="1"/>
  <c r="AB83" i="17"/>
  <c r="I79" i="17"/>
  <c r="AB79" i="17" s="1"/>
  <c r="AC79" i="17" s="1"/>
  <c r="AB84" i="17"/>
  <c r="AC84" i="17" s="1"/>
  <c r="I78" i="17"/>
  <c r="AB78" i="17" s="1"/>
  <c r="AC78" i="17" s="1"/>
  <c r="AB85" i="17"/>
  <c r="I77" i="17"/>
  <c r="AB77" i="17" s="1"/>
  <c r="AC77" i="17" s="1"/>
  <c r="AB71" i="17"/>
  <c r="AC71" i="17" s="1"/>
  <c r="I67" i="17"/>
  <c r="AB67" i="17" s="1"/>
  <c r="AC67" i="17" s="1"/>
  <c r="I66" i="17"/>
  <c r="AB66" i="17" s="1"/>
  <c r="AC66" i="17" s="1"/>
  <c r="AB75" i="17"/>
  <c r="AC75" i="17" s="1"/>
  <c r="I65" i="17"/>
  <c r="AB65" i="17" s="1"/>
  <c r="AC65" i="17" s="1"/>
  <c r="I64" i="17"/>
  <c r="AB64" i="17" s="1"/>
  <c r="AC64" i="17" s="1"/>
  <c r="I55" i="17"/>
  <c r="AB55" i="17" s="1"/>
  <c r="AC55" i="17" s="1"/>
  <c r="I54" i="17"/>
  <c r="AB54" i="17" s="1"/>
  <c r="AC54" i="17" s="1"/>
  <c r="I43" i="17"/>
  <c r="AB43" i="17" s="1"/>
  <c r="AC43" i="17" s="1"/>
  <c r="I42" i="17"/>
  <c r="AB42" i="17" s="1"/>
  <c r="AC42" i="17" s="1"/>
  <c r="I41" i="17"/>
  <c r="AB41" i="17" s="1"/>
  <c r="AC41" i="17" s="1"/>
  <c r="I40" i="17"/>
  <c r="AB40" i="17" s="1"/>
  <c r="AC40" i="17" s="1"/>
  <c r="I39" i="17"/>
  <c r="AB39" i="17" s="1"/>
  <c r="AC39" i="17" s="1"/>
  <c r="I38" i="17"/>
  <c r="AB38" i="17" s="1"/>
  <c r="AC38" i="17" s="1"/>
  <c r="I37" i="17"/>
  <c r="AB37" i="17" s="1"/>
  <c r="AC37" i="17" s="1"/>
  <c r="I36" i="17"/>
  <c r="AB36" i="17" s="1"/>
  <c r="AC36" i="17" s="1"/>
  <c r="I35" i="17"/>
  <c r="AB35" i="17" s="1"/>
  <c r="AC35" i="17" s="1"/>
  <c r="I34" i="17"/>
  <c r="AB34" i="17" s="1"/>
  <c r="AC34" i="17" s="1"/>
  <c r="AB53" i="17"/>
  <c r="AC53" i="17" s="1"/>
  <c r="I32" i="17"/>
  <c r="AB32" i="17" s="1"/>
  <c r="AC32" i="17" s="1"/>
  <c r="AB51" i="17"/>
  <c r="AC51" i="17" s="1"/>
  <c r="AB52" i="17"/>
  <c r="AC52" i="17" s="1"/>
  <c r="I30" i="17"/>
  <c r="AB30" i="17" s="1"/>
  <c r="AC30" i="17" s="1"/>
  <c r="AB44" i="17"/>
  <c r="AC44" i="17" s="1"/>
  <c r="I28" i="17"/>
  <c r="AB28" i="17" s="1"/>
  <c r="AC28" i="17" s="1"/>
  <c r="I21" i="17"/>
  <c r="AB21" i="17" s="1"/>
  <c r="AC21" i="17" s="1"/>
  <c r="I19" i="17"/>
  <c r="AB19" i="17" s="1"/>
  <c r="AC19" i="17" s="1"/>
  <c r="AB24" i="17"/>
  <c r="AC24" i="17" s="1"/>
  <c r="I17" i="17"/>
  <c r="AB17" i="17" s="1"/>
  <c r="AC17" i="17" s="1"/>
  <c r="AB27" i="17"/>
  <c r="AC27" i="17" s="1"/>
  <c r="I5" i="17"/>
  <c r="AB5" i="17" s="1"/>
  <c r="AC5" i="17" s="1"/>
  <c r="I2" i="17"/>
  <c r="AB2" i="17" s="1"/>
  <c r="AC2" i="17" s="1"/>
  <c r="J12" i="17"/>
  <c r="AB12" i="17" s="1"/>
  <c r="AC12" i="17" s="1"/>
  <c r="AB6" i="17"/>
  <c r="I4" i="17"/>
  <c r="AB4" i="17" s="1"/>
  <c r="AC4" i="17" s="1"/>
  <c r="I3" i="17"/>
  <c r="AB3" i="17" s="1"/>
  <c r="F7" i="17"/>
  <c r="F8" i="17"/>
  <c r="F10" i="17"/>
  <c r="F9" i="17"/>
  <c r="F11" i="17"/>
  <c r="F13" i="17"/>
  <c r="F14" i="17"/>
  <c r="F15" i="17"/>
  <c r="F26" i="17"/>
  <c r="F23" i="17"/>
  <c r="F25" i="17"/>
  <c r="AB46" i="17"/>
  <c r="F46" i="17"/>
  <c r="F50" i="17"/>
  <c r="F49" i="17"/>
  <c r="F45" i="17"/>
  <c r="F48" i="17"/>
  <c r="F47" i="17"/>
  <c r="F56" i="17"/>
  <c r="F57" i="17"/>
  <c r="F58" i="17"/>
  <c r="F62" i="17"/>
  <c r="F60" i="17"/>
  <c r="F63" i="17"/>
  <c r="F59" i="17"/>
  <c r="F61" i="17"/>
  <c r="F72" i="17"/>
  <c r="F68" i="17"/>
  <c r="F70" i="17"/>
  <c r="F73" i="17"/>
  <c r="F74" i="17"/>
  <c r="F69" i="17"/>
  <c r="F76" i="17"/>
  <c r="F86" i="17"/>
  <c r="F87" i="17"/>
  <c r="F89" i="17"/>
  <c r="F82" i="17"/>
  <c r="F81" i="17"/>
  <c r="F91" i="17"/>
  <c r="F92" i="17"/>
  <c r="F93" i="17"/>
  <c r="F102" i="17"/>
  <c r="F97" i="17"/>
  <c r="F96" i="17"/>
  <c r="F98" i="17"/>
  <c r="F100" i="17"/>
  <c r="F104" i="17"/>
  <c r="F103" i="17"/>
  <c r="F107" i="17"/>
  <c r="F106" i="17"/>
  <c r="F105" i="17"/>
  <c r="F127" i="17"/>
  <c r="F120" i="17"/>
  <c r="F122" i="17"/>
  <c r="F121" i="17"/>
  <c r="F123" i="17"/>
  <c r="F124" i="17"/>
  <c r="F119" i="17"/>
  <c r="F136" i="17"/>
  <c r="F140" i="17"/>
  <c r="F138" i="17"/>
  <c r="F139" i="17"/>
  <c r="F144" i="17"/>
  <c r="F149" i="17"/>
  <c r="F147" i="17"/>
  <c r="F146" i="17"/>
  <c r="F145" i="17"/>
  <c r="F148" i="17"/>
  <c r="F159" i="17"/>
  <c r="F158" i="17"/>
  <c r="F157" i="17"/>
  <c r="AB156" i="17"/>
  <c r="F156" i="17"/>
  <c r="F166" i="17"/>
  <c r="F163" i="17"/>
  <c r="F164" i="17"/>
  <c r="F165" i="17"/>
  <c r="F174" i="17"/>
  <c r="F173" i="17"/>
  <c r="F171" i="17"/>
  <c r="F176" i="17"/>
  <c r="F170" i="17"/>
  <c r="F172" i="17"/>
  <c r="F177" i="17"/>
  <c r="F178" i="17"/>
  <c r="F186" i="17"/>
  <c r="F190" i="17"/>
  <c r="F184" i="17"/>
  <c r="F194" i="17"/>
  <c r="F191" i="17"/>
  <c r="AB188" i="17"/>
  <c r="F188" i="17"/>
  <c r="F185" i="17"/>
  <c r="F193" i="17"/>
  <c r="AB187" i="17"/>
  <c r="F187" i="17"/>
  <c r="F189" i="17"/>
  <c r="F195" i="17"/>
  <c r="F196" i="17"/>
  <c r="F203" i="17"/>
  <c r="F205" i="17"/>
  <c r="F207" i="17"/>
  <c r="F201" i="17"/>
  <c r="F216" i="17"/>
  <c r="F223" i="17"/>
  <c r="F221" i="17"/>
  <c r="F224" i="17"/>
  <c r="F222" i="17"/>
  <c r="F225" i="17"/>
  <c r="F228" i="17"/>
  <c r="F231" i="17"/>
  <c r="F232" i="17"/>
  <c r="F230" i="17"/>
  <c r="F238" i="17"/>
  <c r="F240" i="17"/>
  <c r="F242" i="17"/>
  <c r="F239" i="17"/>
  <c r="F237" i="17"/>
  <c r="F235" i="17"/>
  <c r="F241" i="17"/>
  <c r="F236" i="17"/>
  <c r="F244" i="17"/>
  <c r="F243" i="17"/>
  <c r="F247" i="17"/>
  <c r="F248" i="17"/>
  <c r="F251" i="17"/>
  <c r="F252" i="17"/>
  <c r="F250" i="17"/>
  <c r="F253" i="17"/>
  <c r="F255" i="17"/>
  <c r="F254" i="17"/>
  <c r="AA5" i="12" l="1"/>
  <c r="S5" i="12"/>
  <c r="J5" i="12"/>
  <c r="W5" i="12"/>
  <c r="X5" i="12"/>
  <c r="T5" i="12"/>
  <c r="L5" i="12"/>
  <c r="AC8" i="12"/>
  <c r="Z5" i="12"/>
  <c r="V5" i="12"/>
  <c r="Q5" i="12"/>
  <c r="AC7" i="12"/>
  <c r="Y5" i="12"/>
  <c r="U5" i="12"/>
  <c r="N5" i="12"/>
  <c r="AB15" i="12"/>
  <c r="AC15" i="12" s="1"/>
  <c r="E4" i="12"/>
  <c r="AB26" i="12"/>
  <c r="AC26" i="12" s="1"/>
  <c r="M4" i="12"/>
  <c r="M5" i="12" s="1"/>
  <c r="P4" i="12"/>
  <c r="P5" i="12" s="1"/>
  <c r="AB12" i="12"/>
  <c r="AC12" i="12" s="1"/>
  <c r="K4" i="12"/>
  <c r="K5" i="12" s="1"/>
  <c r="AB17" i="12"/>
  <c r="AC17" i="12" s="1"/>
  <c r="O4" i="12"/>
  <c r="O5" i="12" s="1"/>
  <c r="R4" i="12"/>
  <c r="R5" i="12" s="1"/>
  <c r="AB9" i="12"/>
  <c r="AC9" i="12" s="1"/>
  <c r="I4" i="12"/>
  <c r="I5" i="12" s="1"/>
  <c r="AB6" i="12"/>
  <c r="AC6" i="12" s="1"/>
  <c r="H4" i="9"/>
  <c r="AC6" i="9"/>
  <c r="AC123" i="9"/>
  <c r="AC129" i="9"/>
  <c r="AC93" i="9"/>
  <c r="AC137" i="9"/>
  <c r="AC124" i="9"/>
  <c r="AC133" i="9"/>
  <c r="AC35" i="9"/>
  <c r="Q4" i="9"/>
  <c r="AB112" i="9"/>
  <c r="AC112" i="9" s="1"/>
  <c r="L4" i="9"/>
  <c r="AB138" i="9"/>
  <c r="AC138" i="9" s="1"/>
  <c r="AC135" i="9"/>
  <c r="AC90" i="9"/>
  <c r="AC37" i="9"/>
  <c r="AC94" i="9"/>
  <c r="AC134" i="9"/>
  <c r="AC142" i="9"/>
  <c r="AC127" i="9"/>
  <c r="AC41" i="9"/>
  <c r="AC143" i="9"/>
  <c r="O4" i="9"/>
  <c r="K4" i="9"/>
  <c r="P4" i="9"/>
  <c r="N4" i="9"/>
  <c r="M4" i="9"/>
  <c r="I4" i="9"/>
  <c r="AC46" i="9"/>
  <c r="AC45" i="9"/>
  <c r="AC140" i="9"/>
  <c r="AC86" i="9"/>
  <c r="AC136" i="9"/>
  <c r="AC19" i="9"/>
  <c r="AC42" i="9"/>
  <c r="AC72" i="9"/>
  <c r="AC111" i="9"/>
  <c r="AC113" i="9"/>
  <c r="AC139" i="9"/>
  <c r="AC145" i="9"/>
  <c r="AC48" i="9"/>
  <c r="AC57" i="9"/>
  <c r="AC141" i="9"/>
  <c r="AC192" i="10"/>
  <c r="AC50" i="10"/>
  <c r="I4" i="10"/>
  <c r="L4" i="10"/>
  <c r="AB6" i="10"/>
  <c r="AC6" i="10" s="1"/>
  <c r="K14" i="10"/>
  <c r="AC191" i="10"/>
  <c r="O4" i="10"/>
  <c r="N4" i="10"/>
  <c r="J4" i="10"/>
  <c r="P4" i="10"/>
  <c r="Q4" i="10"/>
  <c r="M4" i="10"/>
  <c r="AC160" i="10"/>
  <c r="AC17" i="9"/>
  <c r="AB30" i="18"/>
  <c r="AC30" i="18" s="1"/>
  <c r="AB13" i="18"/>
  <c r="AC13" i="18" s="1"/>
  <c r="AB33" i="18"/>
  <c r="AC33" i="18" s="1"/>
  <c r="AB8" i="18"/>
  <c r="AC8" i="18" s="1"/>
  <c r="AB35" i="18"/>
  <c r="AC35" i="18" s="1"/>
  <c r="AB23" i="18"/>
  <c r="AB80" i="18"/>
  <c r="AC80" i="18" s="1"/>
  <c r="AB52" i="18"/>
  <c r="AC52" i="18" s="1"/>
  <c r="AB50" i="18"/>
  <c r="AC50" i="18" s="1"/>
  <c r="AB116" i="18"/>
  <c r="AC116" i="18" s="1"/>
  <c r="AB6" i="18"/>
  <c r="AC6" i="18" s="1"/>
  <c r="AB61" i="18"/>
  <c r="AC61" i="18" s="1"/>
  <c r="AB63" i="18"/>
  <c r="AC63" i="18" s="1"/>
  <c r="AB127" i="18"/>
  <c r="AC127" i="18" s="1"/>
  <c r="AC139" i="18"/>
  <c r="AB42" i="18"/>
  <c r="AC42" i="18" s="1"/>
  <c r="AB7" i="18"/>
  <c r="AC7" i="18" s="1"/>
  <c r="AB10" i="18"/>
  <c r="AC10" i="18" s="1"/>
  <c r="AB14" i="18"/>
  <c r="AC14" i="18" s="1"/>
  <c r="AB19" i="18"/>
  <c r="AC19" i="18" s="1"/>
  <c r="AC23" i="18"/>
  <c r="AB46" i="18"/>
  <c r="AC46" i="18" s="1"/>
  <c r="AB90" i="18"/>
  <c r="AC90" i="18" s="1"/>
  <c r="AC110" i="18"/>
  <c r="AB64" i="18"/>
  <c r="AC64" i="18" s="1"/>
  <c r="AB75" i="18"/>
  <c r="AC75" i="18" s="1"/>
  <c r="AB40" i="18"/>
  <c r="AC40" i="18" s="1"/>
  <c r="AB51" i="18"/>
  <c r="AC51" i="18" s="1"/>
  <c r="AB130" i="18"/>
  <c r="AC130" i="18" s="1"/>
  <c r="AB21" i="18"/>
  <c r="AC21" i="18" s="1"/>
  <c r="AB71" i="18"/>
  <c r="AC71" i="18" s="1"/>
  <c r="AB24" i="18"/>
  <c r="AC24" i="18" s="1"/>
  <c r="AB103" i="18"/>
  <c r="AC103" i="18" s="1"/>
  <c r="AB34" i="18"/>
  <c r="AC34" i="18" s="1"/>
  <c r="AB84" i="18"/>
  <c r="AC84" i="18" s="1"/>
  <c r="AB44" i="18"/>
  <c r="AC44" i="18" s="1"/>
  <c r="AB105" i="18"/>
  <c r="AC105" i="18" s="1"/>
  <c r="AB41" i="18"/>
  <c r="AC41" i="18" s="1"/>
  <c r="AB56" i="18"/>
  <c r="AC56" i="18" s="1"/>
  <c r="AB83" i="18"/>
  <c r="AC83" i="18" s="1"/>
  <c r="AB53" i="18"/>
  <c r="AC53" i="18" s="1"/>
  <c r="AB57" i="18"/>
  <c r="AC57" i="18" s="1"/>
  <c r="AB65" i="18"/>
  <c r="AC65" i="18" s="1"/>
  <c r="AC69" i="18"/>
  <c r="AC93" i="18"/>
  <c r="AB99" i="18"/>
  <c r="AC99" i="18" s="1"/>
  <c r="AB107" i="18"/>
  <c r="AC107" i="18" s="1"/>
  <c r="AB124" i="18"/>
  <c r="AC124" i="18" s="1"/>
  <c r="AC135" i="18"/>
  <c r="AC140" i="18"/>
  <c r="AC142" i="18"/>
  <c r="AB39" i="18"/>
  <c r="AC39" i="18" s="1"/>
  <c r="AB45" i="18"/>
  <c r="AC45" i="18" s="1"/>
  <c r="AB76" i="18"/>
  <c r="AC76" i="18" s="1"/>
  <c r="AB102" i="18"/>
  <c r="AC102" i="18" s="1"/>
  <c r="AC18" i="18"/>
  <c r="AB54" i="18"/>
  <c r="AC54" i="18" s="1"/>
  <c r="AB88" i="18"/>
  <c r="AC88" i="18" s="1"/>
  <c r="AB96" i="18"/>
  <c r="AC96" i="18" s="1"/>
  <c r="AB117" i="18"/>
  <c r="AC117" i="18" s="1"/>
  <c r="X125" i="18"/>
  <c r="AB125" i="18" s="1"/>
  <c r="AC125" i="18" s="1"/>
  <c r="AC137" i="18"/>
  <c r="AB143" i="18"/>
  <c r="AC143" i="18" s="1"/>
  <c r="AB47" i="18"/>
  <c r="AC47" i="18" s="1"/>
  <c r="AC68" i="18"/>
  <c r="AB104" i="18"/>
  <c r="AC104" i="18" s="1"/>
  <c r="AB22" i="18"/>
  <c r="AC22" i="18" s="1"/>
  <c r="AC28" i="18"/>
  <c r="AB55" i="18"/>
  <c r="AC55" i="18" s="1"/>
  <c r="AB58" i="18"/>
  <c r="AC58" i="18" s="1"/>
  <c r="AB67" i="18"/>
  <c r="AC67" i="18" s="1"/>
  <c r="AB70" i="18"/>
  <c r="AC70" i="18" s="1"/>
  <c r="AC72" i="18"/>
  <c r="AB74" i="18"/>
  <c r="AC74" i="18" s="1"/>
  <c r="AB77" i="18"/>
  <c r="AC77" i="18" s="1"/>
  <c r="AB79" i="18"/>
  <c r="AC79" i="18" s="1"/>
  <c r="AC81" i="18"/>
  <c r="AB85" i="18"/>
  <c r="AC85" i="18" s="1"/>
  <c r="AB91" i="18"/>
  <c r="AC91" i="18" s="1"/>
  <c r="AB97" i="18"/>
  <c r="AC97" i="18" s="1"/>
  <c r="AB101" i="18"/>
  <c r="AC101" i="18" s="1"/>
  <c r="AB114" i="18"/>
  <c r="AC114" i="18" s="1"/>
  <c r="AB119" i="18"/>
  <c r="AC119" i="18" s="1"/>
  <c r="AC138" i="18"/>
  <c r="AC144" i="18"/>
  <c r="I8" i="17"/>
  <c r="AB8" i="17" s="1"/>
  <c r="AC8" i="17" s="1"/>
  <c r="P255" i="17"/>
  <c r="AB255" i="17" s="1"/>
  <c r="AC255" i="17" s="1"/>
  <c r="K49" i="17"/>
  <c r="AB49" i="17" s="1"/>
  <c r="AC49" i="17" s="1"/>
  <c r="P230" i="17"/>
  <c r="AB230" i="17" s="1"/>
  <c r="AC230" i="17" s="1"/>
  <c r="M228" i="17"/>
  <c r="AB228" i="17" s="1"/>
  <c r="AC228" i="17" s="1"/>
  <c r="I221" i="17"/>
  <c r="AB221" i="17" s="1"/>
  <c r="AC221" i="17" s="1"/>
  <c r="K104" i="17"/>
  <c r="AB104" i="17" s="1"/>
  <c r="AC104" i="17" s="1"/>
  <c r="I251" i="17"/>
  <c r="AB251" i="17" s="1"/>
  <c r="AC251" i="17" s="1"/>
  <c r="N102" i="17"/>
  <c r="AB102" i="17" s="1"/>
  <c r="AC102" i="17" s="1"/>
  <c r="M171" i="17"/>
  <c r="AB171" i="17" s="1"/>
  <c r="AC171" i="17" s="1"/>
  <c r="M157" i="17"/>
  <c r="AB157" i="17" s="1"/>
  <c r="AC157" i="17" s="1"/>
  <c r="AC100" i="17"/>
  <c r="M91" i="17"/>
  <c r="AB91" i="17" s="1"/>
  <c r="AC91" i="17" s="1"/>
  <c r="P225" i="17"/>
  <c r="AB225" i="17" s="1"/>
  <c r="AC225" i="17" s="1"/>
  <c r="I7" i="17"/>
  <c r="AB7" i="17" s="1"/>
  <c r="AC7" i="17" s="1"/>
  <c r="I248" i="17"/>
  <c r="AB248" i="17" s="1"/>
  <c r="AC248" i="17" s="1"/>
  <c r="I244" i="17"/>
  <c r="AB244" i="17" s="1"/>
  <c r="AC244" i="17" s="1"/>
  <c r="K173" i="17"/>
  <c r="AB173" i="17" s="1"/>
  <c r="AC173" i="17" s="1"/>
  <c r="P164" i="17"/>
  <c r="AB164" i="17" s="1"/>
  <c r="AC164" i="17" s="1"/>
  <c r="O158" i="17"/>
  <c r="AB158" i="17" s="1"/>
  <c r="AC158" i="17" s="1"/>
  <c r="I145" i="17"/>
  <c r="AB145" i="17" s="1"/>
  <c r="AC145" i="17" s="1"/>
  <c r="I81" i="17"/>
  <c r="AB81" i="17" s="1"/>
  <c r="AC81" i="17" s="1"/>
  <c r="I87" i="17"/>
  <c r="AB87" i="17" s="1"/>
  <c r="AC87" i="17" s="1"/>
  <c r="I13" i="17"/>
  <c r="AB13" i="17" s="1"/>
  <c r="AC13" i="17" s="1"/>
  <c r="I146" i="17"/>
  <c r="AB146" i="17" s="1"/>
  <c r="AC146" i="17" s="1"/>
  <c r="O74" i="17"/>
  <c r="AB74" i="17" s="1"/>
  <c r="AC74" i="17" s="1"/>
  <c r="AB62" i="17"/>
  <c r="AC62" i="17" s="1"/>
  <c r="M56" i="17"/>
  <c r="AB56" i="17" s="1"/>
  <c r="AC56" i="17" s="1"/>
  <c r="J11" i="17"/>
  <c r="AB11" i="17" s="1"/>
  <c r="AC11" i="17" s="1"/>
  <c r="I48" i="17"/>
  <c r="AB48" i="17" s="1"/>
  <c r="AC48" i="17" s="1"/>
  <c r="AC50" i="17"/>
  <c r="L254" i="17"/>
  <c r="AB254" i="17" s="1"/>
  <c r="AC254" i="17" s="1"/>
  <c r="I250" i="17"/>
  <c r="AB250" i="17" s="1"/>
  <c r="AC250" i="17" s="1"/>
  <c r="O222" i="17"/>
  <c r="AB222" i="17" s="1"/>
  <c r="AC222" i="17" s="1"/>
  <c r="K216" i="17"/>
  <c r="AB216" i="17" s="1"/>
  <c r="AC216" i="17" s="1"/>
  <c r="I186" i="17"/>
  <c r="AB186" i="17" s="1"/>
  <c r="AC186" i="17" s="1"/>
  <c r="AC119" i="17"/>
  <c r="AC122" i="17"/>
  <c r="AC106" i="17"/>
  <c r="AC47" i="17"/>
  <c r="K241" i="17"/>
  <c r="AB241" i="17" s="1"/>
  <c r="AC241" i="17" s="1"/>
  <c r="I174" i="17"/>
  <c r="AB174" i="17" s="1"/>
  <c r="AC174" i="17" s="1"/>
  <c r="Q76" i="17"/>
  <c r="AB76" i="17" s="1"/>
  <c r="AC76" i="17" s="1"/>
  <c r="AC46" i="17"/>
  <c r="AB203" i="17"/>
  <c r="AC203" i="17" s="1"/>
  <c r="I147" i="17"/>
  <c r="AB147" i="17" s="1"/>
  <c r="AC147" i="17" s="1"/>
  <c r="I231" i="17"/>
  <c r="AB231" i="17" s="1"/>
  <c r="AC231" i="17" s="1"/>
  <c r="AB224" i="17"/>
  <c r="AC224" i="17" s="1"/>
  <c r="AB229" i="17"/>
  <c r="AC229" i="17" s="1"/>
  <c r="AB214" i="17"/>
  <c r="AC214" i="17" s="1"/>
  <c r="M201" i="17"/>
  <c r="AB201" i="17" s="1"/>
  <c r="AC201" i="17" s="1"/>
  <c r="AC123" i="17"/>
  <c r="AC127" i="17"/>
  <c r="AC103" i="17"/>
  <c r="AC96" i="17"/>
  <c r="P89" i="17"/>
  <c r="AB89" i="17" s="1"/>
  <c r="AC89" i="17" s="1"/>
  <c r="AC85" i="17"/>
  <c r="AC83" i="17"/>
  <c r="AC131" i="17"/>
  <c r="AC217" i="17"/>
  <c r="I240" i="17"/>
  <c r="AB240" i="17" s="1"/>
  <c r="AC240" i="17" s="1"/>
  <c r="AC156" i="17"/>
  <c r="I140" i="17"/>
  <c r="AB140" i="17" s="1"/>
  <c r="AC140" i="17" s="1"/>
  <c r="O69" i="17"/>
  <c r="AB69" i="17" s="1"/>
  <c r="AC69" i="17" s="1"/>
  <c r="AC101" i="17"/>
  <c r="AB252" i="17"/>
  <c r="AC252" i="17" s="1"/>
  <c r="K196" i="17"/>
  <c r="AB196" i="17" s="1"/>
  <c r="AC196" i="17" s="1"/>
  <c r="O148" i="17"/>
  <c r="AB148" i="17" s="1"/>
  <c r="AC148" i="17" s="1"/>
  <c r="J149" i="17"/>
  <c r="AB149" i="17" s="1"/>
  <c r="AC149" i="17" s="1"/>
  <c r="AB57" i="17"/>
  <c r="AC57" i="17" s="1"/>
  <c r="I25" i="17"/>
  <c r="AB25" i="17" s="1"/>
  <c r="AC25" i="17" s="1"/>
  <c r="AC6" i="17"/>
  <c r="AC143" i="17"/>
  <c r="AC142" i="17"/>
  <c r="AC175" i="17"/>
  <c r="AC68" i="17"/>
  <c r="AC61" i="17"/>
  <c r="AC63" i="17"/>
  <c r="AC26" i="17"/>
  <c r="AC14" i="17"/>
  <c r="AC136" i="17"/>
  <c r="AC124" i="17"/>
  <c r="AC121" i="17"/>
  <c r="AC120" i="17"/>
  <c r="AC105" i="17"/>
  <c r="AC107" i="17"/>
  <c r="AC58" i="17"/>
  <c r="AC3" i="17"/>
  <c r="AC236" i="17"/>
  <c r="AC172" i="17"/>
  <c r="AC177" i="17"/>
  <c r="AC144" i="17"/>
  <c r="AC93" i="17"/>
  <c r="AC238" i="17"/>
  <c r="AC189" i="17"/>
  <c r="AC193" i="17"/>
  <c r="AC188" i="17"/>
  <c r="AC194" i="17"/>
  <c r="AC190" i="17"/>
  <c r="AC178" i="17"/>
  <c r="AC165" i="17"/>
  <c r="AC73" i="17"/>
  <c r="AC139" i="17"/>
  <c r="AC253" i="17"/>
  <c r="AC159" i="17"/>
  <c r="AC92" i="17"/>
  <c r="AC82" i="17"/>
  <c r="AC45" i="17"/>
  <c r="AC9" i="17"/>
  <c r="AC247" i="17"/>
  <c r="AC237" i="17"/>
  <c r="AC187" i="17"/>
  <c r="AC185" i="17"/>
  <c r="AC191" i="17"/>
  <c r="AC184" i="17"/>
  <c r="AC176" i="17"/>
  <c r="AC166" i="17"/>
  <c r="AC98" i="17"/>
  <c r="AC97" i="17"/>
  <c r="AC72" i="17"/>
  <c r="AC59" i="17"/>
  <c r="AC60" i="17"/>
  <c r="AC23" i="17"/>
  <c r="AC15" i="17"/>
  <c r="AC242" i="17"/>
  <c r="AC205" i="17"/>
  <c r="AC235" i="17"/>
  <c r="AC239" i="17"/>
  <c r="AC232" i="17"/>
  <c r="AC223" i="17"/>
  <c r="AC207" i="17"/>
  <c r="AC10" i="17"/>
  <c r="AC4" i="12" l="1"/>
  <c r="AC5" i="12" s="1"/>
  <c r="AB4" i="12"/>
  <c r="AB5" i="12" s="1"/>
  <c r="AB14" i="10"/>
  <c r="AC14" i="10" s="1"/>
  <c r="K4" i="10"/>
  <c r="AB4" i="10" s="1"/>
  <c r="K1" i="9" l="1"/>
  <c r="J22" i="16"/>
  <c r="J153" i="16"/>
  <c r="AC153" i="16" s="1"/>
  <c r="AD153" i="16" s="1"/>
  <c r="Y122" i="16"/>
  <c r="AC122" i="16" s="1"/>
  <c r="AD122" i="16" s="1"/>
  <c r="J118" i="16"/>
  <c r="AC118" i="16" s="1"/>
  <c r="AD118" i="16" s="1"/>
  <c r="J116" i="16"/>
  <c r="J33" i="16"/>
  <c r="N139" i="16"/>
  <c r="AC139" i="16" s="1"/>
  <c r="AD139" i="16" s="1"/>
  <c r="J131" i="16"/>
  <c r="AC131" i="16" s="1"/>
  <c r="J69" i="16"/>
  <c r="AC69" i="16" s="1"/>
  <c r="J57" i="16"/>
  <c r="J127" i="16"/>
  <c r="AC127" i="16" s="1"/>
  <c r="J117" i="16"/>
  <c r="AC117" i="16" s="1"/>
  <c r="I152" i="16"/>
  <c r="I149" i="16"/>
  <c r="I148" i="16"/>
  <c r="I141" i="16"/>
  <c r="P141" i="16" s="1"/>
  <c r="AC141" i="16" s="1"/>
  <c r="I125" i="16"/>
  <c r="P125" i="16" s="1"/>
  <c r="AC125" i="16" s="1"/>
  <c r="I121" i="16"/>
  <c r="O121" i="16" s="1"/>
  <c r="AC121" i="16" s="1"/>
  <c r="AD121" i="16" s="1"/>
  <c r="I120" i="16"/>
  <c r="P120" i="16" s="1"/>
  <c r="AC120" i="16" s="1"/>
  <c r="I115" i="16"/>
  <c r="I114" i="16"/>
  <c r="O114" i="16" s="1"/>
  <c r="AC114" i="16" s="1"/>
  <c r="I113" i="16"/>
  <c r="Q113" i="16" s="1"/>
  <c r="AC113" i="16" s="1"/>
  <c r="I111" i="16"/>
  <c r="J111" i="16" s="1"/>
  <c r="AC111" i="16" s="1"/>
  <c r="I110" i="16"/>
  <c r="O110" i="16" s="1"/>
  <c r="AC110" i="16" s="1"/>
  <c r="AD110" i="16" s="1"/>
  <c r="I109" i="16"/>
  <c r="J109" i="16" s="1"/>
  <c r="AC109" i="16" s="1"/>
  <c r="I108" i="16"/>
  <c r="O108" i="16" s="1"/>
  <c r="AC108" i="16" s="1"/>
  <c r="AD108" i="16" s="1"/>
  <c r="I106" i="16"/>
  <c r="I105" i="16"/>
  <c r="O105" i="16" s="1"/>
  <c r="AC105" i="16" s="1"/>
  <c r="AD105" i="16" s="1"/>
  <c r="I102" i="16"/>
  <c r="N102" i="16" s="1"/>
  <c r="AC102" i="16" s="1"/>
  <c r="I101" i="16"/>
  <c r="L101" i="16" s="1"/>
  <c r="AC101" i="16" s="1"/>
  <c r="I100" i="16"/>
  <c r="I99" i="16"/>
  <c r="J99" i="16" s="1"/>
  <c r="AC99" i="16" s="1"/>
  <c r="I97" i="16"/>
  <c r="I94" i="16"/>
  <c r="L94" i="16" s="1"/>
  <c r="AC94" i="16" s="1"/>
  <c r="I93" i="16"/>
  <c r="I92" i="16"/>
  <c r="P92" i="16" s="1"/>
  <c r="AC92" i="16" s="1"/>
  <c r="AD92" i="16" s="1"/>
  <c r="I91" i="16"/>
  <c r="L91" i="16" s="1"/>
  <c r="AC91" i="16" s="1"/>
  <c r="I90" i="16"/>
  <c r="I89" i="16"/>
  <c r="I88" i="16"/>
  <c r="I86" i="16"/>
  <c r="I85" i="16"/>
  <c r="P85" i="16" s="1"/>
  <c r="AC85" i="16" s="1"/>
  <c r="I82" i="16"/>
  <c r="L82" i="16" s="1"/>
  <c r="AC82" i="16" s="1"/>
  <c r="I81" i="16"/>
  <c r="I80" i="16"/>
  <c r="O80" i="16" s="1"/>
  <c r="AC80" i="16" s="1"/>
  <c r="AD80" i="16" s="1"/>
  <c r="I78" i="16"/>
  <c r="I77" i="16"/>
  <c r="I76" i="16"/>
  <c r="L76" i="16" s="1"/>
  <c r="AC76" i="16" s="1"/>
  <c r="I75" i="16"/>
  <c r="I74" i="16"/>
  <c r="I73" i="16"/>
  <c r="I72" i="16"/>
  <c r="I71" i="16"/>
  <c r="I67" i="16"/>
  <c r="I66" i="16"/>
  <c r="L66" i="16" s="1"/>
  <c r="AC66" i="16" s="1"/>
  <c r="I64" i="16"/>
  <c r="L64" i="16" s="1"/>
  <c r="AC64" i="16" s="1"/>
  <c r="I63" i="16"/>
  <c r="L63" i="16" s="1"/>
  <c r="AC63" i="16" s="1"/>
  <c r="I62" i="16"/>
  <c r="I61" i="16"/>
  <c r="L61" i="16" s="1"/>
  <c r="AC61" i="16" s="1"/>
  <c r="I58" i="16"/>
  <c r="I56" i="16"/>
  <c r="I55" i="16"/>
  <c r="P55" i="16" s="1"/>
  <c r="AC55" i="16" s="1"/>
  <c r="I53" i="16"/>
  <c r="J53" i="16" s="1"/>
  <c r="AC53" i="16" s="1"/>
  <c r="I52" i="16"/>
  <c r="O52" i="16" s="1"/>
  <c r="AC52" i="16" s="1"/>
  <c r="AD52" i="16" s="1"/>
  <c r="I51" i="16"/>
  <c r="I50" i="16"/>
  <c r="N50" i="16" s="1"/>
  <c r="AC50" i="16" s="1"/>
  <c r="I49" i="16"/>
  <c r="I48" i="16"/>
  <c r="L48" i="16" s="1"/>
  <c r="AC48" i="16" s="1"/>
  <c r="I47" i="16"/>
  <c r="I46" i="16"/>
  <c r="I44" i="16"/>
  <c r="I43" i="16"/>
  <c r="I42" i="16"/>
  <c r="I41" i="16"/>
  <c r="L41" i="16" s="1"/>
  <c r="AC41" i="16" s="1"/>
  <c r="I38" i="16"/>
  <c r="N38" i="16" s="1"/>
  <c r="AC38" i="16" s="1"/>
  <c r="I37" i="16"/>
  <c r="L37" i="16" s="1"/>
  <c r="AC37" i="16" s="1"/>
  <c r="I36" i="16"/>
  <c r="N36" i="16" s="1"/>
  <c r="AC36" i="16" s="1"/>
  <c r="I35" i="16"/>
  <c r="I34" i="16"/>
  <c r="J34" i="16" s="1"/>
  <c r="AC34" i="16" s="1"/>
  <c r="I32" i="16"/>
  <c r="N32" i="16" s="1"/>
  <c r="AC32" i="16" s="1"/>
  <c r="I31" i="16"/>
  <c r="J31" i="16" s="1"/>
  <c r="AC31" i="16" s="1"/>
  <c r="I30" i="16"/>
  <c r="P30" i="16" s="1"/>
  <c r="AC30" i="16" s="1"/>
  <c r="AD30" i="16" s="1"/>
  <c r="I29" i="16"/>
  <c r="I28" i="16"/>
  <c r="I27" i="16"/>
  <c r="I25" i="16"/>
  <c r="I24" i="16"/>
  <c r="I23" i="16"/>
  <c r="I21" i="16"/>
  <c r="L21" i="16" s="1"/>
  <c r="AC21" i="16" s="1"/>
  <c r="I20" i="16"/>
  <c r="I19" i="16"/>
  <c r="I18" i="16"/>
  <c r="I17" i="16"/>
  <c r="J17" i="16" s="1"/>
  <c r="AC17" i="16" s="1"/>
  <c r="AD17" i="16" s="1"/>
  <c r="I15" i="16"/>
  <c r="I14" i="16"/>
  <c r="I13" i="16"/>
  <c r="I12" i="16"/>
  <c r="I11" i="16"/>
  <c r="L11" i="16" s="1"/>
  <c r="AC11" i="16" s="1"/>
  <c r="I8" i="16"/>
  <c r="N8" i="16" s="1"/>
  <c r="AC8" i="16" s="1"/>
  <c r="AD8" i="16" s="1"/>
  <c r="I7" i="16"/>
  <c r="J7" i="16" s="1"/>
  <c r="AC7" i="16" s="1"/>
  <c r="I6" i="16"/>
  <c r="J6" i="16" s="1"/>
  <c r="AC6" i="16" s="1"/>
  <c r="AC10" i="16"/>
  <c r="AD10" i="16" s="1"/>
  <c r="AC12" i="16"/>
  <c r="AC13" i="16"/>
  <c r="AC14" i="16"/>
  <c r="AC15" i="16"/>
  <c r="AC16" i="16"/>
  <c r="AD16" i="16" s="1"/>
  <c r="AC18" i="16"/>
  <c r="AC19" i="16"/>
  <c r="AC20" i="16"/>
  <c r="AC22" i="16"/>
  <c r="AD22" i="16" s="1"/>
  <c r="AC23" i="16"/>
  <c r="AC24" i="16"/>
  <c r="AC25" i="16"/>
  <c r="AC26" i="16"/>
  <c r="AD26" i="16" s="1"/>
  <c r="AC27" i="16"/>
  <c r="AC28" i="16"/>
  <c r="AC29" i="16"/>
  <c r="AC33" i="16"/>
  <c r="AD33" i="16" s="1"/>
  <c r="AC35" i="16"/>
  <c r="AC39" i="16"/>
  <c r="AD39" i="16" s="1"/>
  <c r="AC40" i="16"/>
  <c r="AD40" i="16" s="1"/>
  <c r="AC42" i="16"/>
  <c r="AC43" i="16"/>
  <c r="AC44" i="16"/>
  <c r="AC45" i="16"/>
  <c r="AD45" i="16" s="1"/>
  <c r="AC46" i="16"/>
  <c r="AC47" i="16"/>
  <c r="AC49" i="16"/>
  <c r="AC51" i="16"/>
  <c r="AC54" i="16"/>
  <c r="AD54" i="16" s="1"/>
  <c r="AC56" i="16"/>
  <c r="AC57" i="16"/>
  <c r="AC58" i="16"/>
  <c r="AC59" i="16"/>
  <c r="AD59" i="16" s="1"/>
  <c r="AC60" i="16"/>
  <c r="AD60" i="16" s="1"/>
  <c r="AC62" i="16"/>
  <c r="AC65" i="16"/>
  <c r="AD65" i="16" s="1"/>
  <c r="AC67" i="16"/>
  <c r="AC68" i="16"/>
  <c r="AD68" i="16" s="1"/>
  <c r="AC70" i="16"/>
  <c r="AD70" i="16" s="1"/>
  <c r="AC71" i="16"/>
  <c r="AC72" i="16"/>
  <c r="AC73" i="16"/>
  <c r="AC74" i="16"/>
  <c r="AC75" i="16"/>
  <c r="AC77" i="16"/>
  <c r="AC78" i="16"/>
  <c r="AC79" i="16"/>
  <c r="AD79" i="16" s="1"/>
  <c r="AC81" i="16"/>
  <c r="AC83" i="16"/>
  <c r="AD83" i="16" s="1"/>
  <c r="AC84" i="16"/>
  <c r="AD84" i="16" s="1"/>
  <c r="AC86" i="16"/>
  <c r="AC87" i="16"/>
  <c r="AD87" i="16" s="1"/>
  <c r="AC88" i="16"/>
  <c r="AC89" i="16"/>
  <c r="AC90" i="16"/>
  <c r="AC93" i="16"/>
  <c r="AC95" i="16"/>
  <c r="AD95" i="16" s="1"/>
  <c r="AC96" i="16"/>
  <c r="AD96" i="16" s="1"/>
  <c r="AC97" i="16"/>
  <c r="AC98" i="16"/>
  <c r="AD98" i="16" s="1"/>
  <c r="AC100" i="16"/>
  <c r="AC103" i="16"/>
  <c r="AD103" i="16" s="1"/>
  <c r="AC104" i="16"/>
  <c r="AD104" i="16" s="1"/>
  <c r="AC106" i="16"/>
  <c r="AC107" i="16"/>
  <c r="AD107" i="16" s="1"/>
  <c r="AC112" i="16"/>
  <c r="AD112" i="16" s="1"/>
  <c r="AC115" i="16"/>
  <c r="AC116" i="16"/>
  <c r="AD116" i="16" s="1"/>
  <c r="AC119" i="16"/>
  <c r="AD119" i="16" s="1"/>
  <c r="AC123" i="16"/>
  <c r="AD123" i="16" s="1"/>
  <c r="AC124" i="16"/>
  <c r="AD124" i="16" s="1"/>
  <c r="AC126" i="16"/>
  <c r="AD126" i="16" s="1"/>
  <c r="AC128" i="16"/>
  <c r="AD128" i="16" s="1"/>
  <c r="AC129" i="16"/>
  <c r="AD129" i="16" s="1"/>
  <c r="AC130" i="16"/>
  <c r="AD130" i="16" s="1"/>
  <c r="AC132" i="16"/>
  <c r="AD132" i="16" s="1"/>
  <c r="AC133" i="16"/>
  <c r="AD133" i="16" s="1"/>
  <c r="AC134" i="16"/>
  <c r="AD134" i="16" s="1"/>
  <c r="AC135" i="16"/>
  <c r="AD135" i="16" s="1"/>
  <c r="AC136" i="16"/>
  <c r="AD136" i="16" s="1"/>
  <c r="AC137" i="16"/>
  <c r="AD137" i="16" s="1"/>
  <c r="AC138" i="16"/>
  <c r="AD138" i="16" s="1"/>
  <c r="AC140" i="16"/>
  <c r="AD140" i="16" s="1"/>
  <c r="AC142" i="16"/>
  <c r="AD142" i="16" s="1"/>
  <c r="AC143" i="16"/>
  <c r="AD143" i="16" s="1"/>
  <c r="AC144" i="16"/>
  <c r="AD144" i="16" s="1"/>
  <c r="AC145" i="16"/>
  <c r="AD145" i="16" s="1"/>
  <c r="AC146" i="16"/>
  <c r="AD146" i="16" s="1"/>
  <c r="AC147" i="16"/>
  <c r="AD147" i="16" s="1"/>
  <c r="AC148" i="16"/>
  <c r="AC149" i="16"/>
  <c r="AC150" i="16"/>
  <c r="AD150" i="16" s="1"/>
  <c r="AC151" i="16"/>
  <c r="AD151" i="16" s="1"/>
  <c r="AC152" i="16"/>
  <c r="AC154" i="16"/>
  <c r="AD154" i="16" s="1"/>
  <c r="AC155" i="16"/>
  <c r="AD155" i="16" s="1"/>
  <c r="AC156" i="16"/>
  <c r="AD156" i="16" s="1"/>
  <c r="AC3" i="16"/>
  <c r="AD3" i="16" s="1"/>
  <c r="AC4" i="16"/>
  <c r="AD4" i="16" s="1"/>
  <c r="AC5" i="16"/>
  <c r="AD5" i="16" s="1"/>
  <c r="AC9" i="16"/>
  <c r="AD9" i="16" s="1"/>
  <c r="AC2" i="16"/>
  <c r="AD2" i="16" s="1"/>
  <c r="AD93" i="16" l="1"/>
  <c r="AC1" i="16"/>
  <c r="AD44" i="16"/>
  <c r="AD19" i="16"/>
  <c r="AD125" i="16"/>
  <c r="AD97" i="16"/>
  <c r="AD88" i="16"/>
  <c r="AD55" i="16"/>
  <c r="AD50" i="16"/>
  <c r="AD46" i="16"/>
  <c r="AD111" i="16"/>
  <c r="AD6" i="16"/>
  <c r="AD149" i="16"/>
  <c r="AD89" i="16"/>
  <c r="AD56" i="16"/>
  <c r="AD115" i="16"/>
  <c r="AD99" i="16"/>
  <c r="AD148" i="16"/>
  <c r="AD61" i="16"/>
  <c r="AD20" i="16"/>
  <c r="AD81" i="16"/>
  <c r="AD76" i="16"/>
  <c r="AD72" i="16"/>
  <c r="AD85" i="16"/>
  <c r="AD71" i="16"/>
  <c r="AD34" i="16"/>
  <c r="AD75" i="16"/>
  <c r="AD94" i="16"/>
  <c r="AD90" i="16"/>
  <c r="AD86" i="16"/>
  <c r="AD66" i="16"/>
  <c r="AD41" i="16"/>
  <c r="AD37" i="16"/>
  <c r="AD25" i="16"/>
  <c r="AD101" i="16"/>
  <c r="AD62" i="16"/>
  <c r="AD35" i="16"/>
  <c r="AD31" i="16"/>
  <c r="AD27" i="16"/>
  <c r="AD23" i="16"/>
  <c r="AD15" i="16"/>
  <c r="AD11" i="16"/>
  <c r="AD53" i="16"/>
  <c r="AD152" i="16"/>
  <c r="AD69" i="16"/>
  <c r="AD48" i="16"/>
  <c r="AD13" i="16"/>
  <c r="AD73" i="16"/>
  <c r="AD114" i="16"/>
  <c r="AD63" i="16"/>
  <c r="AD29" i="16"/>
  <c r="AD58" i="16"/>
  <c r="AD21" i="16"/>
  <c r="AD117" i="16"/>
  <c r="AD49" i="16"/>
  <c r="AD38" i="16"/>
  <c r="AD24" i="16"/>
  <c r="AD57" i="16"/>
  <c r="AD7" i="16"/>
  <c r="AD106" i="16"/>
  <c r="AD74" i="16"/>
  <c r="AD47" i="16"/>
  <c r="AD12" i="16"/>
  <c r="AD100" i="16"/>
  <c r="AD82" i="16"/>
  <c r="AD78" i="16"/>
  <c r="AD51" i="16"/>
  <c r="AD43" i="16"/>
  <c r="AD141" i="16"/>
  <c r="AD131" i="16"/>
  <c r="AD127" i="16"/>
  <c r="AD120" i="16"/>
  <c r="AD113" i="16"/>
  <c r="AD109" i="16"/>
  <c r="AD102" i="16"/>
  <c r="AD91" i="16"/>
  <c r="AD77" i="16"/>
  <c r="AD67" i="16"/>
  <c r="AD64" i="16"/>
  <c r="AD42" i="16"/>
  <c r="AD36" i="16"/>
  <c r="AD32" i="16"/>
  <c r="AD28" i="16"/>
  <c r="AD18" i="16"/>
  <c r="AD14" i="16"/>
  <c r="I9" i="6" l="1"/>
  <c r="J32" i="11"/>
  <c r="AB32" i="11" s="1"/>
  <c r="AC32" i="11" s="1"/>
  <c r="C15" i="5"/>
  <c r="D15" i="5"/>
  <c r="E15" i="5"/>
  <c r="J15" i="5"/>
  <c r="N15" i="5"/>
  <c r="P15" i="5"/>
  <c r="Q15" i="5"/>
  <c r="R15" i="5"/>
  <c r="S15" i="5"/>
  <c r="T15" i="5"/>
  <c r="U15" i="5"/>
  <c r="V15" i="5"/>
  <c r="W15" i="5"/>
  <c r="X15" i="5"/>
  <c r="Y15" i="5"/>
  <c r="B15" i="5"/>
  <c r="E14" i="5"/>
  <c r="E13" i="5"/>
  <c r="E11" i="5"/>
  <c r="AB134" i="11"/>
  <c r="F134" i="11"/>
  <c r="H134" i="11" s="1"/>
  <c r="AB133" i="11"/>
  <c r="F133" i="11"/>
  <c r="H133" i="11" s="1"/>
  <c r="AB132" i="11"/>
  <c r="F132" i="11"/>
  <c r="H132" i="11" s="1"/>
  <c r="AB131" i="11"/>
  <c r="F131" i="11"/>
  <c r="H131" i="11" s="1"/>
  <c r="AB130" i="11"/>
  <c r="F130" i="11"/>
  <c r="H130" i="11" s="1"/>
  <c r="AB129" i="11"/>
  <c r="AC129" i="11" s="1"/>
  <c r="F129" i="11"/>
  <c r="H129" i="11" s="1"/>
  <c r="AB128" i="11"/>
  <c r="H128" i="11"/>
  <c r="F128" i="11"/>
  <c r="AB127" i="11"/>
  <c r="F127" i="11"/>
  <c r="H127" i="11" s="1"/>
  <c r="AB126" i="11"/>
  <c r="F126" i="11"/>
  <c r="H126" i="11" s="1"/>
  <c r="AB125" i="11"/>
  <c r="F125" i="11"/>
  <c r="H125" i="11" s="1"/>
  <c r="AB124" i="11"/>
  <c r="H124" i="11"/>
  <c r="F124" i="11"/>
  <c r="AB123" i="11"/>
  <c r="F123" i="11"/>
  <c r="H123" i="11" s="1"/>
  <c r="AB122" i="11"/>
  <c r="F122" i="11"/>
  <c r="H122" i="11" s="1"/>
  <c r="AB121" i="11"/>
  <c r="F121" i="11"/>
  <c r="H121" i="11" s="1"/>
  <c r="AB120" i="11"/>
  <c r="F120" i="11"/>
  <c r="H120" i="11" s="1"/>
  <c r="AB119" i="11"/>
  <c r="F119" i="11"/>
  <c r="H119" i="11" s="1"/>
  <c r="AB118" i="11"/>
  <c r="F118" i="11"/>
  <c r="H118" i="11" s="1"/>
  <c r="AB117" i="11"/>
  <c r="F117" i="11"/>
  <c r="H117" i="11" s="1"/>
  <c r="AB116" i="11"/>
  <c r="F116" i="11"/>
  <c r="H116" i="11" s="1"/>
  <c r="AB115" i="11"/>
  <c r="F115" i="11"/>
  <c r="H115" i="11" s="1"/>
  <c r="AB114" i="11"/>
  <c r="F114" i="11"/>
  <c r="H114" i="11" s="1"/>
  <c r="AB113" i="11"/>
  <c r="AC113" i="11" s="1"/>
  <c r="F113" i="11"/>
  <c r="H113" i="11" s="1"/>
  <c r="AB112" i="11"/>
  <c r="H112" i="11"/>
  <c r="F112" i="11"/>
  <c r="AB111" i="11"/>
  <c r="F111" i="11"/>
  <c r="H111" i="11" s="1"/>
  <c r="AB110" i="11"/>
  <c r="F110" i="11"/>
  <c r="H110" i="11" s="1"/>
  <c r="AB109" i="11"/>
  <c r="F109" i="11"/>
  <c r="H109" i="11" s="1"/>
  <c r="AB108" i="11"/>
  <c r="H108" i="11"/>
  <c r="F108" i="11"/>
  <c r="AB107" i="11"/>
  <c r="F107" i="11"/>
  <c r="H107" i="11" s="1"/>
  <c r="AB106" i="11"/>
  <c r="F106" i="11"/>
  <c r="H106" i="11" s="1"/>
  <c r="AB105" i="11"/>
  <c r="F105" i="11"/>
  <c r="H105" i="11" s="1"/>
  <c r="AB104" i="11"/>
  <c r="F104" i="11"/>
  <c r="H104" i="11" s="1"/>
  <c r="AB103" i="11"/>
  <c r="F103" i="11"/>
  <c r="H103" i="11" s="1"/>
  <c r="AB102" i="11"/>
  <c r="F102" i="11"/>
  <c r="H102" i="11" s="1"/>
  <c r="AB101" i="11"/>
  <c r="F101" i="11"/>
  <c r="H101" i="11" s="1"/>
  <c r="AB100" i="11"/>
  <c r="F100" i="11"/>
  <c r="H100" i="11" s="1"/>
  <c r="AB99" i="11"/>
  <c r="F99" i="11"/>
  <c r="H99" i="11" s="1"/>
  <c r="AB98" i="11"/>
  <c r="F98" i="11"/>
  <c r="H98" i="11" s="1"/>
  <c r="AB97" i="11"/>
  <c r="AC97" i="11" s="1"/>
  <c r="F97" i="11"/>
  <c r="H97" i="11" s="1"/>
  <c r="AB96" i="11"/>
  <c r="H96" i="11"/>
  <c r="F96" i="11"/>
  <c r="AB95" i="11"/>
  <c r="F95" i="11"/>
  <c r="H95" i="11" s="1"/>
  <c r="AB94" i="11"/>
  <c r="F94" i="11"/>
  <c r="H94" i="11" s="1"/>
  <c r="AB93" i="11"/>
  <c r="F93" i="11"/>
  <c r="H93" i="11" s="1"/>
  <c r="AB92" i="11"/>
  <c r="H92" i="11"/>
  <c r="F92" i="11"/>
  <c r="AB91" i="11"/>
  <c r="F91" i="11"/>
  <c r="H91" i="11" s="1"/>
  <c r="AB90" i="11"/>
  <c r="F90" i="11"/>
  <c r="H90" i="11" s="1"/>
  <c r="AB89" i="11"/>
  <c r="F89" i="11"/>
  <c r="H89" i="11" s="1"/>
  <c r="AB88" i="11"/>
  <c r="F88" i="11"/>
  <c r="H88" i="11" s="1"/>
  <c r="AB87" i="11"/>
  <c r="F87" i="11"/>
  <c r="H87" i="11" s="1"/>
  <c r="AB86" i="11"/>
  <c r="F86" i="11"/>
  <c r="H86" i="11" s="1"/>
  <c r="AB85" i="11"/>
  <c r="F85" i="11"/>
  <c r="H85" i="11" s="1"/>
  <c r="AB84" i="11"/>
  <c r="F84" i="11"/>
  <c r="H84" i="11" s="1"/>
  <c r="AB83" i="11"/>
  <c r="F83" i="11"/>
  <c r="H83" i="11" s="1"/>
  <c r="AB82" i="11"/>
  <c r="F82" i="11"/>
  <c r="H82" i="11" s="1"/>
  <c r="AB81" i="11"/>
  <c r="AC81" i="11" s="1"/>
  <c r="F81" i="11"/>
  <c r="H81" i="11" s="1"/>
  <c r="AB80" i="11"/>
  <c r="H80" i="11"/>
  <c r="F80" i="11"/>
  <c r="AB79" i="11"/>
  <c r="F79" i="11"/>
  <c r="H79" i="11" s="1"/>
  <c r="AB78" i="11"/>
  <c r="F78" i="11"/>
  <c r="H78" i="11" s="1"/>
  <c r="AB77" i="11"/>
  <c r="F77" i="11"/>
  <c r="H77" i="11" s="1"/>
  <c r="AB76" i="11"/>
  <c r="AC76" i="11" s="1"/>
  <c r="H76" i="11"/>
  <c r="F76" i="11"/>
  <c r="AB75" i="11"/>
  <c r="H75" i="11"/>
  <c r="F75" i="11"/>
  <c r="AB74" i="11"/>
  <c r="F74" i="11"/>
  <c r="H74" i="11" s="1"/>
  <c r="AB73" i="11"/>
  <c r="AC73" i="11" s="1"/>
  <c r="F73" i="11"/>
  <c r="H73" i="11" s="1"/>
  <c r="AB72" i="11"/>
  <c r="F72" i="11"/>
  <c r="H72" i="11" s="1"/>
  <c r="AB71" i="11"/>
  <c r="F71" i="11"/>
  <c r="H71" i="11" s="1"/>
  <c r="AB70" i="11"/>
  <c r="F70" i="11"/>
  <c r="H70" i="11" s="1"/>
  <c r="AB69" i="11"/>
  <c r="F69" i="11"/>
  <c r="H69" i="11" s="1"/>
  <c r="AB68" i="11"/>
  <c r="H68" i="11"/>
  <c r="F68" i="11"/>
  <c r="AB67" i="11"/>
  <c r="F67" i="11"/>
  <c r="H67" i="11" s="1"/>
  <c r="AB66" i="11"/>
  <c r="F66" i="11"/>
  <c r="H66" i="11" s="1"/>
  <c r="AB65" i="11"/>
  <c r="F65" i="11"/>
  <c r="H65" i="11" s="1"/>
  <c r="AB64" i="11"/>
  <c r="F64" i="11"/>
  <c r="H64" i="11" s="1"/>
  <c r="AB63" i="11"/>
  <c r="F63" i="11"/>
  <c r="H63" i="11" s="1"/>
  <c r="AB62" i="11"/>
  <c r="F62" i="11"/>
  <c r="H62" i="11" s="1"/>
  <c r="AB61" i="11"/>
  <c r="F61" i="11"/>
  <c r="H61" i="11" s="1"/>
  <c r="AB60" i="11"/>
  <c r="F60" i="11"/>
  <c r="H60" i="11" s="1"/>
  <c r="AB59" i="11"/>
  <c r="F59" i="11"/>
  <c r="H59" i="11" s="1"/>
  <c r="AB58" i="11"/>
  <c r="F58" i="11"/>
  <c r="H58" i="11" s="1"/>
  <c r="AB57" i="11"/>
  <c r="F57" i="11"/>
  <c r="H57" i="11" s="1"/>
  <c r="AB56" i="11"/>
  <c r="H56" i="11"/>
  <c r="F56" i="11"/>
  <c r="AB55" i="11"/>
  <c r="F55" i="11"/>
  <c r="H55" i="11" s="1"/>
  <c r="AB54" i="11"/>
  <c r="F54" i="11"/>
  <c r="H54" i="11" s="1"/>
  <c r="AB53" i="11"/>
  <c r="F53" i="11"/>
  <c r="H53" i="11" s="1"/>
  <c r="AB52" i="11"/>
  <c r="F52" i="11"/>
  <c r="H52" i="11" s="1"/>
  <c r="AB51" i="11"/>
  <c r="H51" i="11"/>
  <c r="F51" i="11"/>
  <c r="AB50" i="11"/>
  <c r="F50" i="11"/>
  <c r="H50" i="11" s="1"/>
  <c r="AB49" i="11"/>
  <c r="F49" i="11"/>
  <c r="H49" i="11" s="1"/>
  <c r="AC49" i="11" s="1"/>
  <c r="AC48" i="11"/>
  <c r="AB48" i="11"/>
  <c r="F48" i="11"/>
  <c r="H48" i="11" s="1"/>
  <c r="AB47" i="11"/>
  <c r="F47" i="11"/>
  <c r="H47" i="11" s="1"/>
  <c r="AC47" i="11" s="1"/>
  <c r="AB46" i="11"/>
  <c r="F46" i="11"/>
  <c r="H46" i="11" s="1"/>
  <c r="AC46" i="11" s="1"/>
  <c r="AC45" i="11"/>
  <c r="AB45" i="11"/>
  <c r="F45" i="11"/>
  <c r="H45" i="11" s="1"/>
  <c r="AB44" i="11"/>
  <c r="F44" i="11"/>
  <c r="H44" i="11" s="1"/>
  <c r="AC44" i="11" s="1"/>
  <c r="AB43" i="11"/>
  <c r="F43" i="11"/>
  <c r="H43" i="11" s="1"/>
  <c r="AC43" i="11" s="1"/>
  <c r="AB42" i="11"/>
  <c r="F42" i="11"/>
  <c r="H42" i="11" s="1"/>
  <c r="AC42" i="11" s="1"/>
  <c r="AB41" i="11"/>
  <c r="F41" i="11"/>
  <c r="H41" i="11" s="1"/>
  <c r="AC41" i="11" s="1"/>
  <c r="AC40" i="11"/>
  <c r="AB40" i="11"/>
  <c r="F40" i="11"/>
  <c r="H40" i="11" s="1"/>
  <c r="AB39" i="11"/>
  <c r="F39" i="11"/>
  <c r="H39" i="11" s="1"/>
  <c r="AC39" i="11" s="1"/>
  <c r="AB38" i="11"/>
  <c r="F38" i="11"/>
  <c r="H38" i="11" s="1"/>
  <c r="AC38" i="11" s="1"/>
  <c r="AC37" i="11"/>
  <c r="AB37" i="11"/>
  <c r="F37" i="11"/>
  <c r="H37" i="11" s="1"/>
  <c r="AB36" i="11"/>
  <c r="F36" i="11"/>
  <c r="H36" i="11" s="1"/>
  <c r="AC36" i="11" s="1"/>
  <c r="AB35" i="11"/>
  <c r="F35" i="11"/>
  <c r="H35" i="11" s="1"/>
  <c r="AC35" i="11" s="1"/>
  <c r="AB34" i="11"/>
  <c r="F34" i="11"/>
  <c r="H34" i="11" s="1"/>
  <c r="AC34" i="11" s="1"/>
  <c r="AC33" i="11"/>
  <c r="AB33" i="11"/>
  <c r="F33" i="11"/>
  <c r="F32" i="11"/>
  <c r="AB31" i="11"/>
  <c r="F31" i="11"/>
  <c r="AB30" i="11"/>
  <c r="F30" i="11"/>
  <c r="AB29" i="11"/>
  <c r="F29" i="11"/>
  <c r="AB28" i="11"/>
  <c r="F28" i="11"/>
  <c r="AB27" i="11"/>
  <c r="F27" i="11"/>
  <c r="AB26" i="11"/>
  <c r="F26" i="11"/>
  <c r="AC26" i="11" s="1"/>
  <c r="AB25" i="11"/>
  <c r="F25" i="11"/>
  <c r="AB24" i="11"/>
  <c r="F24" i="11"/>
  <c r="AB23" i="11"/>
  <c r="F23" i="11"/>
  <c r="AB22" i="11"/>
  <c r="F22" i="11"/>
  <c r="AC22" i="11" s="1"/>
  <c r="AB21" i="11"/>
  <c r="F21" i="11"/>
  <c r="AB20" i="11"/>
  <c r="F20" i="11"/>
  <c r="AB19" i="11"/>
  <c r="F19" i="11"/>
  <c r="AB18" i="11"/>
  <c r="F18" i="11"/>
  <c r="AC17" i="11"/>
  <c r="AB17" i="11"/>
  <c r="F17" i="11"/>
  <c r="AC16" i="11"/>
  <c r="AB16" i="11"/>
  <c r="F16" i="11"/>
  <c r="AB15" i="11"/>
  <c r="F15" i="11"/>
  <c r="AC15" i="11" s="1"/>
  <c r="AB14" i="11"/>
  <c r="F14" i="11"/>
  <c r="AB13" i="11"/>
  <c r="F13" i="11"/>
  <c r="AC13" i="11" s="1"/>
  <c r="AB12" i="11"/>
  <c r="F12" i="11"/>
  <c r="AB11" i="11"/>
  <c r="F11" i="11"/>
  <c r="AB10" i="11"/>
  <c r="F10" i="11"/>
  <c r="AC10" i="11" s="1"/>
  <c r="AB9" i="11"/>
  <c r="F9" i="11"/>
  <c r="AC9" i="11" s="1"/>
  <c r="AB8" i="11"/>
  <c r="F8" i="11"/>
  <c r="AB7" i="11"/>
  <c r="F7" i="11"/>
  <c r="AC7" i="11" s="1"/>
  <c r="AB6" i="11"/>
  <c r="F6" i="11"/>
  <c r="AA4" i="11"/>
  <c r="Z4" i="11"/>
  <c r="Y4" i="11"/>
  <c r="X4" i="11"/>
  <c r="W4" i="11"/>
  <c r="V4" i="11"/>
  <c r="U4" i="11"/>
  <c r="T4" i="11"/>
  <c r="S4" i="11"/>
  <c r="R4" i="11"/>
  <c r="Q4" i="11"/>
  <c r="O15" i="5" s="1"/>
  <c r="P4" i="11"/>
  <c r="O4" i="11"/>
  <c r="M15" i="5" s="1"/>
  <c r="N4" i="11"/>
  <c r="L15" i="5" s="1"/>
  <c r="M4" i="11"/>
  <c r="K15" i="5" s="1"/>
  <c r="L4" i="11"/>
  <c r="K4" i="11"/>
  <c r="I15" i="5" s="1"/>
  <c r="J4" i="11"/>
  <c r="H15" i="5" s="1"/>
  <c r="I4" i="11"/>
  <c r="G15" i="5" s="1"/>
  <c r="E4" i="11"/>
  <c r="D4" i="11"/>
  <c r="Y14" i="5"/>
  <c r="X14" i="5"/>
  <c r="W14" i="5"/>
  <c r="V14" i="5"/>
  <c r="U14" i="5"/>
  <c r="T14" i="5"/>
  <c r="S14" i="5"/>
  <c r="R14" i="5"/>
  <c r="Q14" i="5"/>
  <c r="P14" i="5"/>
  <c r="E4" i="10"/>
  <c r="C14" i="5" s="1"/>
  <c r="D4" i="10"/>
  <c r="B14" i="5" s="1"/>
  <c r="Y13" i="5"/>
  <c r="X13" i="5"/>
  <c r="W13" i="5"/>
  <c r="V13" i="5"/>
  <c r="U13" i="5"/>
  <c r="T13" i="5"/>
  <c r="S13" i="5"/>
  <c r="R13" i="5"/>
  <c r="Q13" i="5"/>
  <c r="P13" i="5"/>
  <c r="E4" i="9"/>
  <c r="C13" i="5" s="1"/>
  <c r="D4" i="9"/>
  <c r="B13" i="5" s="1"/>
  <c r="E4" i="7"/>
  <c r="C10" i="5" s="1"/>
  <c r="AB68" i="8"/>
  <c r="AC68" i="8" s="1"/>
  <c r="F7" i="8"/>
  <c r="H7" i="8" s="1"/>
  <c r="P7" i="8" s="1"/>
  <c r="F8" i="8"/>
  <c r="H8" i="8" s="1"/>
  <c r="I8" i="8" s="1"/>
  <c r="AB8" i="8" s="1"/>
  <c r="AC8" i="8" s="1"/>
  <c r="F9" i="8"/>
  <c r="H9" i="8" s="1"/>
  <c r="K9" i="8" s="1"/>
  <c r="AB9" i="8" s="1"/>
  <c r="AC9" i="8" s="1"/>
  <c r="F10" i="8"/>
  <c r="H10" i="8" s="1"/>
  <c r="K10" i="8" s="1"/>
  <c r="AB10" i="8" s="1"/>
  <c r="F11" i="8"/>
  <c r="H11" i="8" s="1"/>
  <c r="K11" i="8" s="1"/>
  <c r="AB11" i="8" s="1"/>
  <c r="AC11" i="8" s="1"/>
  <c r="F12" i="8"/>
  <c r="H12" i="8" s="1"/>
  <c r="F13" i="8"/>
  <c r="H13" i="8" s="1"/>
  <c r="M13" i="8" s="1"/>
  <c r="F14" i="8"/>
  <c r="H14" i="8" s="1"/>
  <c r="K14" i="8" s="1"/>
  <c r="AB14" i="8" s="1"/>
  <c r="AC14" i="8" s="1"/>
  <c r="F15" i="8"/>
  <c r="H15" i="8" s="1"/>
  <c r="M15" i="8" s="1"/>
  <c r="AB15" i="8" s="1"/>
  <c r="AC15" i="8" s="1"/>
  <c r="F16" i="8"/>
  <c r="H16" i="8" s="1"/>
  <c r="F17" i="8"/>
  <c r="H17" i="8" s="1"/>
  <c r="F18" i="8"/>
  <c r="H18" i="8" s="1"/>
  <c r="J18" i="8" s="1"/>
  <c r="AB18" i="8" s="1"/>
  <c r="AC18" i="8" s="1"/>
  <c r="F19" i="8"/>
  <c r="H19" i="8" s="1"/>
  <c r="J19" i="8" s="1"/>
  <c r="AB19" i="8" s="1"/>
  <c r="AC19" i="8" s="1"/>
  <c r="F20" i="8"/>
  <c r="H20" i="8" s="1"/>
  <c r="J20" i="8" s="1"/>
  <c r="AB20" i="8" s="1"/>
  <c r="AC20" i="8" s="1"/>
  <c r="F21" i="8"/>
  <c r="H21" i="8" s="1"/>
  <c r="N21" i="8" s="1"/>
  <c r="AB21" i="8" s="1"/>
  <c r="F22" i="8"/>
  <c r="H22" i="8" s="1"/>
  <c r="N22" i="8" s="1"/>
  <c r="AB22" i="8" s="1"/>
  <c r="F23" i="8"/>
  <c r="H23" i="8" s="1"/>
  <c r="Q23" i="8" s="1"/>
  <c r="F24" i="8"/>
  <c r="H24" i="8" s="1"/>
  <c r="F25" i="8"/>
  <c r="H25" i="8" s="1"/>
  <c r="I25" i="8" s="1"/>
  <c r="F26" i="8"/>
  <c r="H26" i="8" s="1"/>
  <c r="I26" i="8" s="1"/>
  <c r="AB26" i="8" s="1"/>
  <c r="F27" i="8"/>
  <c r="H27" i="8" s="1"/>
  <c r="I27" i="8" s="1"/>
  <c r="F28" i="8"/>
  <c r="H28" i="8" s="1"/>
  <c r="Q28" i="8" s="1"/>
  <c r="AB28" i="8" s="1"/>
  <c r="AC28" i="8" s="1"/>
  <c r="F29" i="8"/>
  <c r="H29" i="8" s="1"/>
  <c r="F30" i="8"/>
  <c r="H30" i="8" s="1"/>
  <c r="M30" i="8" s="1"/>
  <c r="AB30" i="8" s="1"/>
  <c r="AC30" i="8" s="1"/>
  <c r="F31" i="8"/>
  <c r="H31" i="8" s="1"/>
  <c r="I31" i="8" s="1"/>
  <c r="AB31" i="8" s="1"/>
  <c r="AC31" i="8" s="1"/>
  <c r="F32" i="8"/>
  <c r="H32" i="8" s="1"/>
  <c r="P32" i="8" s="1"/>
  <c r="F33" i="8"/>
  <c r="H33" i="8" s="1"/>
  <c r="I33" i="8" s="1"/>
  <c r="AB33" i="8" s="1"/>
  <c r="AC33" i="8" s="1"/>
  <c r="F34" i="8"/>
  <c r="H34" i="8" s="1"/>
  <c r="I34" i="8" s="1"/>
  <c r="AB34" i="8" s="1"/>
  <c r="F35" i="8"/>
  <c r="H35" i="8" s="1"/>
  <c r="I35" i="8" s="1"/>
  <c r="AB35" i="8" s="1"/>
  <c r="AC35" i="8" s="1"/>
  <c r="F36" i="8"/>
  <c r="H36" i="8" s="1"/>
  <c r="I36" i="8" s="1"/>
  <c r="F37" i="8"/>
  <c r="H37" i="8" s="1"/>
  <c r="K37" i="8" s="1"/>
  <c r="F38" i="8"/>
  <c r="H38" i="8" s="1"/>
  <c r="M38" i="8" s="1"/>
  <c r="AB38" i="8" s="1"/>
  <c r="AC38" i="8" s="1"/>
  <c r="F39" i="8"/>
  <c r="H39" i="8" s="1"/>
  <c r="K39" i="8" s="1"/>
  <c r="F40" i="8"/>
  <c r="H40" i="8" s="1"/>
  <c r="K40" i="8" s="1"/>
  <c r="AB40" i="8" s="1"/>
  <c r="AC40" i="8" s="1"/>
  <c r="F41" i="8"/>
  <c r="H41" i="8" s="1"/>
  <c r="F42" i="8"/>
  <c r="H42" i="8" s="1"/>
  <c r="M42" i="8" s="1"/>
  <c r="F43" i="8"/>
  <c r="H43" i="8" s="1"/>
  <c r="K43" i="8" s="1"/>
  <c r="F44" i="8"/>
  <c r="H44" i="8" s="1"/>
  <c r="F45" i="8"/>
  <c r="H45" i="8" s="1"/>
  <c r="K45" i="8" s="1"/>
  <c r="AB45" i="8" s="1"/>
  <c r="F46" i="8"/>
  <c r="H46" i="8" s="1"/>
  <c r="K46" i="8" s="1"/>
  <c r="F47" i="8"/>
  <c r="H47" i="8" s="1"/>
  <c r="K47" i="8" s="1"/>
  <c r="F48" i="8"/>
  <c r="H48" i="8" s="1"/>
  <c r="M48" i="8" s="1"/>
  <c r="AB48" i="8" s="1"/>
  <c r="AC48" i="8" s="1"/>
  <c r="F49" i="8"/>
  <c r="H49" i="8" s="1"/>
  <c r="K49" i="8" s="1"/>
  <c r="AB49" i="8" s="1"/>
  <c r="F50" i="8"/>
  <c r="H50" i="8" s="1"/>
  <c r="F51" i="8"/>
  <c r="H51" i="8" s="1"/>
  <c r="F52" i="8"/>
  <c r="H52" i="8" s="1"/>
  <c r="I52" i="8" s="1"/>
  <c r="F53" i="8"/>
  <c r="H53" i="8" s="1"/>
  <c r="I53" i="8" s="1"/>
  <c r="AB53" i="8" s="1"/>
  <c r="AC53" i="8" s="1"/>
  <c r="F54" i="8"/>
  <c r="H54" i="8" s="1"/>
  <c r="I54" i="8" s="1"/>
  <c r="AB54" i="8" s="1"/>
  <c r="F55" i="8"/>
  <c r="H55" i="8" s="1"/>
  <c r="K55" i="8" s="1"/>
  <c r="F56" i="8"/>
  <c r="H56" i="8" s="1"/>
  <c r="J56" i="8" s="1"/>
  <c r="AB56" i="8" s="1"/>
  <c r="AC56" i="8" s="1"/>
  <c r="F57" i="8"/>
  <c r="H57" i="8" s="1"/>
  <c r="M57" i="8" s="1"/>
  <c r="F58" i="8"/>
  <c r="H58" i="8" s="1"/>
  <c r="F59" i="8"/>
  <c r="H59" i="8" s="1"/>
  <c r="F60" i="8"/>
  <c r="H60" i="8" s="1"/>
  <c r="F61" i="8"/>
  <c r="H61" i="8" s="1"/>
  <c r="F62" i="8"/>
  <c r="H62" i="8" s="1"/>
  <c r="F63" i="8"/>
  <c r="H63" i="8" s="1"/>
  <c r="F64" i="8"/>
  <c r="H64" i="8" s="1"/>
  <c r="F65" i="8"/>
  <c r="H65" i="8" s="1"/>
  <c r="M65" i="8" s="1"/>
  <c r="AB65" i="8" s="1"/>
  <c r="F66" i="8"/>
  <c r="H66" i="8" s="1"/>
  <c r="I66" i="8" s="1"/>
  <c r="AB66" i="8" s="1"/>
  <c r="F67" i="8"/>
  <c r="H67" i="8" s="1"/>
  <c r="M67" i="8" s="1"/>
  <c r="AB67" i="8" s="1"/>
  <c r="AC67" i="8" s="1"/>
  <c r="F6" i="8"/>
  <c r="H6" i="8" s="1"/>
  <c r="I6" i="8" s="1"/>
  <c r="AB6" i="8" s="1"/>
  <c r="AC6" i="8" s="1"/>
  <c r="AB57" i="8"/>
  <c r="AB55" i="8"/>
  <c r="AB52" i="8"/>
  <c r="AB47" i="8"/>
  <c r="AB46" i="8"/>
  <c r="AB43" i="8"/>
  <c r="AB39" i="8"/>
  <c r="AB37" i="8"/>
  <c r="AB36" i="8"/>
  <c r="AB27" i="8"/>
  <c r="AB25" i="8"/>
  <c r="AA4" i="8"/>
  <c r="Y11" i="5" s="1"/>
  <c r="Z4" i="8"/>
  <c r="X11" i="5" s="1"/>
  <c r="Y4" i="8"/>
  <c r="W11" i="5" s="1"/>
  <c r="X4" i="8"/>
  <c r="V11" i="5" s="1"/>
  <c r="W4" i="8"/>
  <c r="U11" i="5" s="1"/>
  <c r="V4" i="8"/>
  <c r="T11" i="5" s="1"/>
  <c r="U4" i="8"/>
  <c r="S11" i="5" s="1"/>
  <c r="T4" i="8"/>
  <c r="R11" i="5" s="1"/>
  <c r="S4" i="8"/>
  <c r="Q11" i="5" s="1"/>
  <c r="R4" i="8"/>
  <c r="P11" i="5" s="1"/>
  <c r="O4" i="8"/>
  <c r="M11" i="5" s="1"/>
  <c r="L4" i="8"/>
  <c r="J11" i="5" s="1"/>
  <c r="E4" i="8"/>
  <c r="C11" i="5" s="1"/>
  <c r="D4" i="8"/>
  <c r="B11" i="5" s="1"/>
  <c r="E10" i="5"/>
  <c r="B6" i="5"/>
  <c r="Z9" i="5"/>
  <c r="AA9" i="5"/>
  <c r="AB9" i="5"/>
  <c r="V9" i="5"/>
  <c r="W9" i="5"/>
  <c r="X9" i="5"/>
  <c r="Y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B9" i="5"/>
  <c r="H8" i="5"/>
  <c r="H7" i="5"/>
  <c r="H6" i="5"/>
  <c r="H7" i="2"/>
  <c r="H8" i="2"/>
  <c r="AC8" i="2" s="1"/>
  <c r="H9" i="2"/>
  <c r="H10" i="2"/>
  <c r="AC10" i="2" s="1"/>
  <c r="H6" i="2"/>
  <c r="AC6" i="2" s="1"/>
  <c r="AC7" i="2"/>
  <c r="AC9" i="2"/>
  <c r="AC11" i="2"/>
  <c r="AB7" i="2"/>
  <c r="AB8" i="2"/>
  <c r="AB9" i="2"/>
  <c r="AB6" i="2"/>
  <c r="AB7" i="3"/>
  <c r="AB8" i="3"/>
  <c r="AC8" i="3" s="1"/>
  <c r="AB9" i="3"/>
  <c r="AB10" i="3"/>
  <c r="AC10" i="3" s="1"/>
  <c r="AB11" i="3"/>
  <c r="AB12" i="3"/>
  <c r="AC12" i="3" s="1"/>
  <c r="AB6" i="3"/>
  <c r="AC6" i="3" s="1"/>
  <c r="AC7" i="3"/>
  <c r="AC9" i="3"/>
  <c r="AC11" i="3"/>
  <c r="AC13" i="3"/>
  <c r="AC14" i="3"/>
  <c r="H11" i="3"/>
  <c r="H6" i="3"/>
  <c r="I10" i="4"/>
  <c r="J11" i="4"/>
  <c r="J4" i="4" s="1"/>
  <c r="I8" i="4"/>
  <c r="I9" i="4"/>
  <c r="AB9" i="4" s="1"/>
  <c r="I7" i="4"/>
  <c r="J6" i="4"/>
  <c r="H7" i="4"/>
  <c r="H8" i="4"/>
  <c r="H9" i="4"/>
  <c r="H10" i="4"/>
  <c r="H11" i="4"/>
  <c r="H6" i="4"/>
  <c r="AB11" i="6"/>
  <c r="AC11" i="6" s="1"/>
  <c r="AB12" i="6"/>
  <c r="AC12" i="6" s="1"/>
  <c r="J7" i="6"/>
  <c r="H7" i="6"/>
  <c r="H8" i="6"/>
  <c r="AC8" i="6" s="1"/>
  <c r="H9" i="6"/>
  <c r="H10" i="6"/>
  <c r="H11" i="6"/>
  <c r="H12" i="6"/>
  <c r="H13" i="6"/>
  <c r="H6" i="6"/>
  <c r="AC10" i="6"/>
  <c r="AC13" i="6"/>
  <c r="AC14" i="6"/>
  <c r="AC15" i="6"/>
  <c r="AC16" i="6"/>
  <c r="AC6" i="6"/>
  <c r="AC65" i="7"/>
  <c r="AB36" i="7"/>
  <c r="AB41" i="7"/>
  <c r="AB64" i="7"/>
  <c r="F7" i="7"/>
  <c r="H7" i="7" s="1"/>
  <c r="K7" i="7" s="1"/>
  <c r="F8" i="7"/>
  <c r="H8" i="7" s="1"/>
  <c r="I8" i="7" s="1"/>
  <c r="AB8" i="7" s="1"/>
  <c r="F9" i="7"/>
  <c r="H9" i="7" s="1"/>
  <c r="J9" i="7" s="1"/>
  <c r="AB9" i="7" s="1"/>
  <c r="AC9" i="7" s="1"/>
  <c r="F10" i="7"/>
  <c r="F11" i="7"/>
  <c r="H11" i="7" s="1"/>
  <c r="I11" i="7" s="1"/>
  <c r="AB11" i="7" s="1"/>
  <c r="F12" i="7"/>
  <c r="H12" i="7" s="1"/>
  <c r="I12" i="7" s="1"/>
  <c r="F13" i="7"/>
  <c r="F14" i="7"/>
  <c r="H14" i="7" s="1"/>
  <c r="O14" i="7" s="1"/>
  <c r="AB14" i="7" s="1"/>
  <c r="F15" i="7"/>
  <c r="H15" i="7" s="1"/>
  <c r="I15" i="7" s="1"/>
  <c r="F16" i="7"/>
  <c r="H16" i="7" s="1"/>
  <c r="I16" i="7" s="1"/>
  <c r="F17" i="7"/>
  <c r="H17" i="7" s="1"/>
  <c r="K17" i="7" s="1"/>
  <c r="AB17" i="7" s="1"/>
  <c r="F18" i="7"/>
  <c r="F19" i="7"/>
  <c r="H19" i="7" s="1"/>
  <c r="I19" i="7" s="1"/>
  <c r="AB19" i="7" s="1"/>
  <c r="F20" i="7"/>
  <c r="H20" i="7" s="1"/>
  <c r="N20" i="7" s="1"/>
  <c r="AB20" i="7" s="1"/>
  <c r="F21" i="7"/>
  <c r="H21" i="7" s="1"/>
  <c r="I21" i="7" s="1"/>
  <c r="AB21" i="7" s="1"/>
  <c r="F22" i="7"/>
  <c r="H22" i="7" s="1"/>
  <c r="I22" i="7" s="1"/>
  <c r="AB22" i="7" s="1"/>
  <c r="F23" i="7"/>
  <c r="H23" i="7" s="1"/>
  <c r="I23" i="7" s="1"/>
  <c r="AB23" i="7" s="1"/>
  <c r="F24" i="7"/>
  <c r="H24" i="7" s="1"/>
  <c r="I24" i="7" s="1"/>
  <c r="AB24" i="7" s="1"/>
  <c r="F25" i="7"/>
  <c r="H25" i="7" s="1"/>
  <c r="K25" i="7" s="1"/>
  <c r="AB25" i="7" s="1"/>
  <c r="F26" i="7"/>
  <c r="H26" i="7" s="1"/>
  <c r="N26" i="7" s="1"/>
  <c r="F27" i="7"/>
  <c r="H27" i="7" s="1"/>
  <c r="J27" i="7" s="1"/>
  <c r="F28" i="7"/>
  <c r="H28" i="7" s="1"/>
  <c r="J28" i="7" s="1"/>
  <c r="F29" i="7"/>
  <c r="H29" i="7" s="1"/>
  <c r="I29" i="7" s="1"/>
  <c r="AB29" i="7" s="1"/>
  <c r="F30" i="7"/>
  <c r="H30" i="7" s="1"/>
  <c r="I30" i="7" s="1"/>
  <c r="AB30" i="7" s="1"/>
  <c r="F31" i="7"/>
  <c r="F32" i="7"/>
  <c r="H32" i="7" s="1"/>
  <c r="M32" i="7" s="1"/>
  <c r="F33" i="7"/>
  <c r="F34" i="7"/>
  <c r="H34" i="7" s="1"/>
  <c r="I34" i="7" s="1"/>
  <c r="AB34" i="7" s="1"/>
  <c r="F35" i="7"/>
  <c r="H35" i="7" s="1"/>
  <c r="I35" i="7" s="1"/>
  <c r="AB35" i="7" s="1"/>
  <c r="F36" i="7"/>
  <c r="H36" i="7" s="1"/>
  <c r="O36" i="7" s="1"/>
  <c r="F37" i="7"/>
  <c r="F38" i="7"/>
  <c r="H38" i="7" s="1"/>
  <c r="I38" i="7" s="1"/>
  <c r="AB38" i="7" s="1"/>
  <c r="F39" i="7"/>
  <c r="F40" i="7"/>
  <c r="H40" i="7" s="1"/>
  <c r="I40" i="7" s="1"/>
  <c r="F41" i="7"/>
  <c r="H41" i="7" s="1"/>
  <c r="M41" i="7" s="1"/>
  <c r="F42" i="7"/>
  <c r="F43" i="7"/>
  <c r="H43" i="7" s="1"/>
  <c r="K43" i="7" s="1"/>
  <c r="AB43" i="7" s="1"/>
  <c r="F44" i="7"/>
  <c r="H44" i="7" s="1"/>
  <c r="K44" i="7" s="1"/>
  <c r="AB44" i="7" s="1"/>
  <c r="F45" i="7"/>
  <c r="H45" i="7" s="1"/>
  <c r="I45" i="7" s="1"/>
  <c r="AB45" i="7" s="1"/>
  <c r="F46" i="7"/>
  <c r="F47" i="7"/>
  <c r="H47" i="7" s="1"/>
  <c r="N47" i="7" s="1"/>
  <c r="AB47" i="7" s="1"/>
  <c r="F48" i="7"/>
  <c r="H48" i="7" s="1"/>
  <c r="I48" i="7" s="1"/>
  <c r="AB48" i="7" s="1"/>
  <c r="F49" i="7"/>
  <c r="F50" i="7"/>
  <c r="F51" i="7"/>
  <c r="H51" i="7" s="1"/>
  <c r="I51" i="7" s="1"/>
  <c r="AB51" i="7" s="1"/>
  <c r="F52" i="7"/>
  <c r="H52" i="7" s="1"/>
  <c r="I52" i="7" s="1"/>
  <c r="AB52" i="7" s="1"/>
  <c r="F53" i="7"/>
  <c r="F54" i="7"/>
  <c r="F55" i="7"/>
  <c r="H55" i="7" s="1"/>
  <c r="N55" i="7" s="1"/>
  <c r="AB55" i="7" s="1"/>
  <c r="F56" i="7"/>
  <c r="H56" i="7" s="1"/>
  <c r="K56" i="7" s="1"/>
  <c r="F57" i="7"/>
  <c r="F58" i="7"/>
  <c r="F59" i="7"/>
  <c r="H59" i="7" s="1"/>
  <c r="M59" i="7" s="1"/>
  <c r="AB59" i="7" s="1"/>
  <c r="F60" i="7"/>
  <c r="H60" i="7" s="1"/>
  <c r="I60" i="7" s="1"/>
  <c r="AB60" i="7" s="1"/>
  <c r="F61" i="7"/>
  <c r="F62" i="7"/>
  <c r="F63" i="7"/>
  <c r="H63" i="7" s="1"/>
  <c r="K63" i="7" s="1"/>
  <c r="F64" i="7"/>
  <c r="F6" i="7"/>
  <c r="H6" i="7" s="1"/>
  <c r="I6" i="7" s="1"/>
  <c r="AA4" i="7"/>
  <c r="Y10" i="5" s="1"/>
  <c r="Z4" i="7"/>
  <c r="X10" i="5" s="1"/>
  <c r="Y4" i="7"/>
  <c r="W10" i="5" s="1"/>
  <c r="X4" i="7"/>
  <c r="V10" i="5" s="1"/>
  <c r="W4" i="7"/>
  <c r="U10" i="5" s="1"/>
  <c r="V4" i="7"/>
  <c r="T10" i="5" s="1"/>
  <c r="U4" i="7"/>
  <c r="S10" i="5" s="1"/>
  <c r="T4" i="7"/>
  <c r="R10" i="5" s="1"/>
  <c r="S4" i="7"/>
  <c r="Q10" i="5" s="1"/>
  <c r="R4" i="7"/>
  <c r="P10" i="5" s="1"/>
  <c r="Q4" i="7"/>
  <c r="O10" i="5" s="1"/>
  <c r="P4" i="7"/>
  <c r="N10" i="5" s="1"/>
  <c r="O4" i="7"/>
  <c r="M10" i="5" s="1"/>
  <c r="L4" i="7"/>
  <c r="J10" i="5" s="1"/>
  <c r="D4" i="7"/>
  <c r="B10" i="5" s="1"/>
  <c r="I11" i="6"/>
  <c r="AB7" i="6"/>
  <c r="AC7" i="6" s="1"/>
  <c r="I6" i="6"/>
  <c r="F11" i="6"/>
  <c r="F10" i="6"/>
  <c r="I10" i="6" s="1"/>
  <c r="AB10" i="6" s="1"/>
  <c r="AB9" i="6"/>
  <c r="AC9" i="6" s="1"/>
  <c r="F9" i="6"/>
  <c r="I8" i="6"/>
  <c r="AB8" i="6" s="1"/>
  <c r="F8" i="6"/>
  <c r="F7" i="6"/>
  <c r="F6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E4" i="6"/>
  <c r="D4" i="6"/>
  <c r="D4" i="4"/>
  <c r="B8" i="5" s="1"/>
  <c r="E4" i="4"/>
  <c r="C8" i="5" s="1"/>
  <c r="F7" i="4"/>
  <c r="F4" i="4" s="1"/>
  <c r="D8" i="5" s="1"/>
  <c r="F8" i="4"/>
  <c r="F9" i="4"/>
  <c r="F10" i="4"/>
  <c r="F11" i="4"/>
  <c r="F6" i="4"/>
  <c r="D4" i="2"/>
  <c r="E4" i="2"/>
  <c r="C7" i="5"/>
  <c r="F4" i="3"/>
  <c r="J11" i="3"/>
  <c r="F11" i="3"/>
  <c r="AB5" i="2"/>
  <c r="I9" i="2"/>
  <c r="I4" i="2" s="1"/>
  <c r="G6" i="5" s="1"/>
  <c r="J8" i="2"/>
  <c r="I7" i="2"/>
  <c r="J6" i="2"/>
  <c r="F7" i="2"/>
  <c r="F8" i="2"/>
  <c r="F9" i="2"/>
  <c r="F6" i="2"/>
  <c r="F4" i="2" s="1"/>
  <c r="D6" i="5" s="1"/>
  <c r="K4" i="3"/>
  <c r="J4" i="3"/>
  <c r="AB4" i="3" s="1"/>
  <c r="H4" i="3" s="1"/>
  <c r="I10" i="3"/>
  <c r="J9" i="3"/>
  <c r="H7" i="3"/>
  <c r="I7" i="3" s="1"/>
  <c r="I6" i="3"/>
  <c r="F7" i="3"/>
  <c r="F8" i="3"/>
  <c r="H8" i="3" s="1"/>
  <c r="I8" i="3" s="1"/>
  <c r="F9" i="3"/>
  <c r="H9" i="3" s="1"/>
  <c r="F10" i="3"/>
  <c r="H10" i="3" s="1"/>
  <c r="F6" i="3"/>
  <c r="E8" i="5"/>
  <c r="E7" i="5"/>
  <c r="O7" i="5"/>
  <c r="W7" i="5"/>
  <c r="C6" i="5"/>
  <c r="E6" i="5"/>
  <c r="AC9" i="4"/>
  <c r="AC8" i="4"/>
  <c r="AC7" i="4"/>
  <c r="AB10" i="4"/>
  <c r="AB7" i="4"/>
  <c r="AB8" i="4"/>
  <c r="AA4" i="4"/>
  <c r="Y8" i="5" s="1"/>
  <c r="Z4" i="4"/>
  <c r="X8" i="5" s="1"/>
  <c r="Y4" i="4"/>
  <c r="W8" i="5" s="1"/>
  <c r="X4" i="4"/>
  <c r="V8" i="5" s="1"/>
  <c r="W4" i="4"/>
  <c r="U8" i="5" s="1"/>
  <c r="V4" i="4"/>
  <c r="T8" i="5" s="1"/>
  <c r="U4" i="4"/>
  <c r="S8" i="5" s="1"/>
  <c r="T4" i="4"/>
  <c r="R8" i="5" s="1"/>
  <c r="S4" i="4"/>
  <c r="Q8" i="5" s="1"/>
  <c r="R4" i="4"/>
  <c r="P8" i="5" s="1"/>
  <c r="Q4" i="4"/>
  <c r="O8" i="5" s="1"/>
  <c r="P4" i="4"/>
  <c r="N8" i="5" s="1"/>
  <c r="O4" i="4"/>
  <c r="M8" i="5" s="1"/>
  <c r="N4" i="4"/>
  <c r="L8" i="5" s="1"/>
  <c r="M4" i="4"/>
  <c r="K8" i="5" s="1"/>
  <c r="L4" i="4"/>
  <c r="J8" i="5" s="1"/>
  <c r="K4" i="4"/>
  <c r="I8" i="5" s="1"/>
  <c r="AA4" i="2"/>
  <c r="Z4" i="2"/>
  <c r="X6" i="5" s="1"/>
  <c r="Y4" i="2"/>
  <c r="W6" i="5" s="1"/>
  <c r="X4" i="2"/>
  <c r="V6" i="5" s="1"/>
  <c r="W4" i="2"/>
  <c r="U6" i="5" s="1"/>
  <c r="V4" i="2"/>
  <c r="T6" i="5" s="1"/>
  <c r="U4" i="2"/>
  <c r="S6" i="5" s="1"/>
  <c r="T4" i="2"/>
  <c r="R6" i="5" s="1"/>
  <c r="S4" i="2"/>
  <c r="Q6" i="5" s="1"/>
  <c r="R4" i="2"/>
  <c r="P6" i="5" s="1"/>
  <c r="Q4" i="2"/>
  <c r="O6" i="5" s="1"/>
  <c r="P4" i="2"/>
  <c r="N6" i="5" s="1"/>
  <c r="O4" i="2"/>
  <c r="M6" i="5" s="1"/>
  <c r="N4" i="2"/>
  <c r="L6" i="5" s="1"/>
  <c r="M4" i="2"/>
  <c r="K6" i="5" s="1"/>
  <c r="L4" i="2"/>
  <c r="J6" i="5" s="1"/>
  <c r="K4" i="2"/>
  <c r="I6" i="5" s="1"/>
  <c r="B7" i="5"/>
  <c r="AA4" i="3"/>
  <c r="Y7" i="5" s="1"/>
  <c r="Z4" i="3"/>
  <c r="X7" i="5" s="1"/>
  <c r="Y4" i="3"/>
  <c r="X4" i="3"/>
  <c r="V7" i="5" s="1"/>
  <c r="W4" i="3"/>
  <c r="U7" i="5" s="1"/>
  <c r="V4" i="3"/>
  <c r="T7" i="5" s="1"/>
  <c r="U4" i="3"/>
  <c r="S7" i="5" s="1"/>
  <c r="T4" i="3"/>
  <c r="R7" i="5" s="1"/>
  <c r="S4" i="3"/>
  <c r="Q7" i="5" s="1"/>
  <c r="R4" i="3"/>
  <c r="P7" i="5" s="1"/>
  <c r="Q4" i="3"/>
  <c r="P4" i="3"/>
  <c r="N7" i="5" s="1"/>
  <c r="O4" i="3"/>
  <c r="M7" i="5" s="1"/>
  <c r="N4" i="3"/>
  <c r="L7" i="5" s="1"/>
  <c r="M4" i="3"/>
  <c r="K7" i="5" s="1"/>
  <c r="L4" i="3"/>
  <c r="J7" i="5" s="1"/>
  <c r="I7" i="5"/>
  <c r="AC18" i="11" l="1"/>
  <c r="AC31" i="11"/>
  <c r="AC30" i="11"/>
  <c r="AC29" i="11"/>
  <c r="AC27" i="11"/>
  <c r="AC28" i="11"/>
  <c r="AC25" i="11"/>
  <c r="AC24" i="11"/>
  <c r="AC23" i="11"/>
  <c r="AC21" i="11"/>
  <c r="AC20" i="11"/>
  <c r="AC19" i="11"/>
  <c r="AC14" i="11"/>
  <c r="AC12" i="11"/>
  <c r="AC11" i="11"/>
  <c r="AC8" i="11"/>
  <c r="AC21" i="8"/>
  <c r="P12" i="8"/>
  <c r="AB12" i="8" s="1"/>
  <c r="AC12" i="8" s="1"/>
  <c r="P59" i="8"/>
  <c r="AB59" i="8" s="1"/>
  <c r="AC59" i="8" s="1"/>
  <c r="P51" i="8"/>
  <c r="AB51" i="8" s="1"/>
  <c r="AC51" i="8" s="1"/>
  <c r="AC66" i="8"/>
  <c r="P62" i="8"/>
  <c r="AB62" i="8" s="1"/>
  <c r="AC62" i="8" s="1"/>
  <c r="P58" i="8"/>
  <c r="AB58" i="8" s="1"/>
  <c r="AC58" i="8" s="1"/>
  <c r="P50" i="8"/>
  <c r="AB50" i="8" s="1"/>
  <c r="AC50" i="8" s="1"/>
  <c r="AC34" i="8"/>
  <c r="P64" i="8"/>
  <c r="AB64" i="8" s="1"/>
  <c r="AC64" i="8" s="1"/>
  <c r="P60" i="8"/>
  <c r="AB60" i="8" s="1"/>
  <c r="AC60" i="8" s="1"/>
  <c r="P44" i="8"/>
  <c r="AB44" i="8" s="1"/>
  <c r="AC44" i="8" s="1"/>
  <c r="P24" i="8"/>
  <c r="AB24" i="8" s="1"/>
  <c r="AC24" i="8" s="1"/>
  <c r="P16" i="8"/>
  <c r="AB16" i="8" s="1"/>
  <c r="AC16" i="8" s="1"/>
  <c r="AC36" i="8"/>
  <c r="AC52" i="8"/>
  <c r="P63" i="8"/>
  <c r="AB63" i="8" s="1"/>
  <c r="AC63" i="8" s="1"/>
  <c r="P61" i="8"/>
  <c r="AB61" i="8" s="1"/>
  <c r="AC61" i="8" s="1"/>
  <c r="P41" i="8"/>
  <c r="AB41" i="8" s="1"/>
  <c r="AC41" i="8" s="1"/>
  <c r="P29" i="8"/>
  <c r="AB29" i="8" s="1"/>
  <c r="AC29" i="8" s="1"/>
  <c r="P17" i="8"/>
  <c r="AB17" i="8" s="1"/>
  <c r="AC17" i="8" s="1"/>
  <c r="AC55" i="8"/>
  <c r="AC22" i="8"/>
  <c r="AC65" i="8"/>
  <c r="AC46" i="8"/>
  <c r="AC27" i="8"/>
  <c r="AC39" i="8"/>
  <c r="AC47" i="8"/>
  <c r="AC57" i="8"/>
  <c r="AC49" i="8"/>
  <c r="AC45" i="8"/>
  <c r="AC37" i="8"/>
  <c r="AC25" i="8"/>
  <c r="AC43" i="8"/>
  <c r="L13" i="5"/>
  <c r="J13" i="5"/>
  <c r="N13" i="5"/>
  <c r="M13" i="5"/>
  <c r="E19" i="5"/>
  <c r="P19" i="5"/>
  <c r="Q19" i="5"/>
  <c r="U19" i="5"/>
  <c r="Y19" i="5"/>
  <c r="X19" i="5"/>
  <c r="B19" i="5"/>
  <c r="T19" i="5"/>
  <c r="C19" i="5"/>
  <c r="S19" i="5"/>
  <c r="W19" i="5"/>
  <c r="I14" i="5"/>
  <c r="K14" i="5"/>
  <c r="L14" i="5"/>
  <c r="O14" i="5"/>
  <c r="M14" i="5"/>
  <c r="AC26" i="8"/>
  <c r="AC54" i="8"/>
  <c r="AC10" i="8"/>
  <c r="H39" i="7"/>
  <c r="I39" i="7" s="1"/>
  <c r="AB39" i="7" s="1"/>
  <c r="AC39" i="7" s="1"/>
  <c r="H31" i="7"/>
  <c r="I31" i="7" s="1"/>
  <c r="AB31" i="7" s="1"/>
  <c r="AC31" i="7" s="1"/>
  <c r="AB63" i="7"/>
  <c r="AC63" i="7" s="1"/>
  <c r="AB27" i="7"/>
  <c r="AC27" i="7" s="1"/>
  <c r="H62" i="7"/>
  <c r="I62" i="7" s="1"/>
  <c r="AB62" i="7" s="1"/>
  <c r="AC62" i="7" s="1"/>
  <c r="H58" i="7"/>
  <c r="K58" i="7" s="1"/>
  <c r="AB58" i="7" s="1"/>
  <c r="AC58" i="7" s="1"/>
  <c r="H54" i="7"/>
  <c r="I54" i="7" s="1"/>
  <c r="AB54" i="7" s="1"/>
  <c r="AC54" i="7" s="1"/>
  <c r="H50" i="7"/>
  <c r="M50" i="7" s="1"/>
  <c r="AB50" i="7" s="1"/>
  <c r="AC50" i="7" s="1"/>
  <c r="H46" i="7"/>
  <c r="J46" i="7" s="1"/>
  <c r="J4" i="7" s="1"/>
  <c r="H10" i="5" s="1"/>
  <c r="H42" i="7"/>
  <c r="N42" i="7" s="1"/>
  <c r="AB42" i="7" s="1"/>
  <c r="AC42" i="7" s="1"/>
  <c r="H18" i="7"/>
  <c r="K18" i="7" s="1"/>
  <c r="AB18" i="7" s="1"/>
  <c r="AC18" i="7" s="1"/>
  <c r="H10" i="7"/>
  <c r="I10" i="7" s="1"/>
  <c r="AB10" i="7" s="1"/>
  <c r="AC10" i="7" s="1"/>
  <c r="AB15" i="7"/>
  <c r="AC15" i="7" s="1"/>
  <c r="AB56" i="7"/>
  <c r="AC56" i="7" s="1"/>
  <c r="AB40" i="7"/>
  <c r="AC40" i="7" s="1"/>
  <c r="AB28" i="7"/>
  <c r="AC28" i="7" s="1"/>
  <c r="AB16" i="7"/>
  <c r="AC16" i="7" s="1"/>
  <c r="AB12" i="7"/>
  <c r="AC12" i="7" s="1"/>
  <c r="H61" i="7"/>
  <c r="M61" i="7" s="1"/>
  <c r="H57" i="7"/>
  <c r="K57" i="7" s="1"/>
  <c r="AB57" i="7" s="1"/>
  <c r="AC57" i="7" s="1"/>
  <c r="H53" i="7"/>
  <c r="I53" i="7" s="1"/>
  <c r="AB53" i="7" s="1"/>
  <c r="AC53" i="7" s="1"/>
  <c r="H49" i="7"/>
  <c r="I49" i="7" s="1"/>
  <c r="AB49" i="7" s="1"/>
  <c r="AC49" i="7" s="1"/>
  <c r="H37" i="7"/>
  <c r="I37" i="7" s="1"/>
  <c r="AB37" i="7" s="1"/>
  <c r="AC37" i="7" s="1"/>
  <c r="H33" i="7"/>
  <c r="I33" i="7" s="1"/>
  <c r="AB33" i="7" s="1"/>
  <c r="AC33" i="7" s="1"/>
  <c r="H13" i="7"/>
  <c r="I13" i="7" s="1"/>
  <c r="AB13" i="7" s="1"/>
  <c r="AC13" i="7" s="1"/>
  <c r="N14" i="5"/>
  <c r="G14" i="5"/>
  <c r="J14" i="5"/>
  <c r="H14" i="5"/>
  <c r="V19" i="5"/>
  <c r="R19" i="5"/>
  <c r="AC57" i="11"/>
  <c r="AC60" i="11"/>
  <c r="AC65" i="11"/>
  <c r="AC68" i="11"/>
  <c r="AC52" i="11"/>
  <c r="AC6" i="11"/>
  <c r="F4" i="11"/>
  <c r="AC117" i="11"/>
  <c r="AC53" i="11"/>
  <c r="AC56" i="11"/>
  <c r="AC61" i="11"/>
  <c r="AC64" i="11"/>
  <c r="AC69" i="11"/>
  <c r="AC72" i="11"/>
  <c r="AC77" i="11"/>
  <c r="AC89" i="11"/>
  <c r="AC105" i="11"/>
  <c r="AC121" i="11"/>
  <c r="AC85" i="11"/>
  <c r="AC101" i="11"/>
  <c r="AC133" i="11"/>
  <c r="AB4" i="11"/>
  <c r="Z15" i="5" s="1"/>
  <c r="AC93" i="11"/>
  <c r="AC109" i="11"/>
  <c r="AC125" i="11"/>
  <c r="AC80" i="11"/>
  <c r="AC84" i="11"/>
  <c r="AC88" i="11"/>
  <c r="AC92" i="11"/>
  <c r="AC96" i="11"/>
  <c r="AC100" i="11"/>
  <c r="AC104" i="11"/>
  <c r="AC108" i="11"/>
  <c r="AC112" i="11"/>
  <c r="AC116" i="11"/>
  <c r="AC120" i="11"/>
  <c r="AC124" i="11"/>
  <c r="AC128" i="11"/>
  <c r="AC132" i="11"/>
  <c r="AC51" i="11"/>
  <c r="AC55" i="11"/>
  <c r="AC59" i="11"/>
  <c r="AC63" i="11"/>
  <c r="AC67" i="11"/>
  <c r="AC71" i="11"/>
  <c r="AC75" i="11"/>
  <c r="AC79" i="11"/>
  <c r="AC83" i="11"/>
  <c r="AC87" i="11"/>
  <c r="AC91" i="11"/>
  <c r="AC95" i="11"/>
  <c r="AC99" i="11"/>
  <c r="AC103" i="11"/>
  <c r="AC107" i="11"/>
  <c r="AC111" i="11"/>
  <c r="AC115" i="11"/>
  <c r="AC119" i="11"/>
  <c r="AC123" i="11"/>
  <c r="AC127" i="11"/>
  <c r="AC131" i="11"/>
  <c r="AC50" i="11"/>
  <c r="AC54" i="11"/>
  <c r="AC58" i="11"/>
  <c r="AC62" i="11"/>
  <c r="AC66" i="11"/>
  <c r="AC70" i="11"/>
  <c r="AC74" i="11"/>
  <c r="AC78" i="11"/>
  <c r="AC82" i="11"/>
  <c r="AC86" i="11"/>
  <c r="AC90" i="11"/>
  <c r="AC94" i="11"/>
  <c r="AC98" i="11"/>
  <c r="AC102" i="11"/>
  <c r="AC106" i="11"/>
  <c r="AC110" i="11"/>
  <c r="AC114" i="11"/>
  <c r="AC118" i="11"/>
  <c r="AC122" i="11"/>
  <c r="AC126" i="11"/>
  <c r="AC130" i="11"/>
  <c r="AC134" i="11"/>
  <c r="F4" i="10"/>
  <c r="D14" i="5" s="1"/>
  <c r="K13" i="5"/>
  <c r="I13" i="5"/>
  <c r="H13" i="5"/>
  <c r="O13" i="5"/>
  <c r="G13" i="5"/>
  <c r="F4" i="9"/>
  <c r="D13" i="5" s="1"/>
  <c r="AB13" i="8"/>
  <c r="AC13" i="8" s="1"/>
  <c r="M4" i="8"/>
  <c r="K11" i="5" s="1"/>
  <c r="Q4" i="8"/>
  <c r="O11" i="5" s="1"/>
  <c r="AB23" i="8"/>
  <c r="AC23" i="8" s="1"/>
  <c r="J4" i="8"/>
  <c r="H11" i="5" s="1"/>
  <c r="AB7" i="8"/>
  <c r="AC7" i="8" s="1"/>
  <c r="K4" i="8"/>
  <c r="I11" i="5" s="1"/>
  <c r="N4" i="8"/>
  <c r="L11" i="5" s="1"/>
  <c r="AB42" i="8"/>
  <c r="AC42" i="8" s="1"/>
  <c r="I4" i="8"/>
  <c r="G11" i="5" s="1"/>
  <c r="F4" i="8"/>
  <c r="D11" i="5" s="1"/>
  <c r="AB32" i="8"/>
  <c r="AC32" i="8" s="1"/>
  <c r="AC23" i="7"/>
  <c r="AC19" i="7"/>
  <c r="AC8" i="7"/>
  <c r="AC4" i="3"/>
  <c r="AA7" i="5" s="1"/>
  <c r="N4" i="7"/>
  <c r="L10" i="5" s="1"/>
  <c r="AC38" i="7"/>
  <c r="AC22" i="7"/>
  <c r="AC35" i="7"/>
  <c r="AC34" i="7"/>
  <c r="AC11" i="7"/>
  <c r="AB26" i="7"/>
  <c r="AC26" i="7" s="1"/>
  <c r="AC41" i="7"/>
  <c r="AC29" i="7"/>
  <c r="AC52" i="7"/>
  <c r="AC44" i="7"/>
  <c r="AC60" i="7"/>
  <c r="AC55" i="7"/>
  <c r="AC51" i="7"/>
  <c r="AC47" i="7"/>
  <c r="AC43" i="7"/>
  <c r="AC25" i="7"/>
  <c r="AC21" i="7"/>
  <c r="AC17" i="7"/>
  <c r="AB7" i="7"/>
  <c r="AC7" i="7" s="1"/>
  <c r="AC45" i="7"/>
  <c r="AC48" i="7"/>
  <c r="AC64" i="7"/>
  <c r="AC59" i="7"/>
  <c r="AC36" i="7"/>
  <c r="AC30" i="7"/>
  <c r="AC24" i="7"/>
  <c r="AC20" i="7"/>
  <c r="AC14" i="7"/>
  <c r="AB32" i="7"/>
  <c r="AC32" i="7" s="1"/>
  <c r="AB6" i="7"/>
  <c r="AC6" i="7" s="1"/>
  <c r="F4" i="7"/>
  <c r="D10" i="5" s="1"/>
  <c r="J4" i="6"/>
  <c r="AB6" i="6"/>
  <c r="I4" i="6"/>
  <c r="F4" i="6"/>
  <c r="J4" i="2"/>
  <c r="AB4" i="2" s="1"/>
  <c r="H4" i="2" s="1"/>
  <c r="F6" i="5" s="1"/>
  <c r="I4" i="3"/>
  <c r="G7" i="5" s="1"/>
  <c r="D7" i="5"/>
  <c r="I4" i="4"/>
  <c r="G8" i="5" s="1"/>
  <c r="AB6" i="4"/>
  <c r="AC6" i="4" s="1"/>
  <c r="P12" i="5"/>
  <c r="T12" i="5"/>
  <c r="S12" i="5"/>
  <c r="Y6" i="5"/>
  <c r="Y12" i="5" s="1"/>
  <c r="W12" i="5"/>
  <c r="O12" i="5"/>
  <c r="V12" i="5"/>
  <c r="R12" i="5"/>
  <c r="E12" i="5"/>
  <c r="M12" i="5"/>
  <c r="U12" i="5"/>
  <c r="Q12" i="5"/>
  <c r="J12" i="5"/>
  <c r="C12" i="5"/>
  <c r="X12" i="5"/>
  <c r="B12" i="5"/>
  <c r="Z7" i="5"/>
  <c r="P4" i="8" l="1"/>
  <c r="N11" i="5" s="1"/>
  <c r="N12" i="5" s="1"/>
  <c r="L19" i="5"/>
  <c r="J19" i="5"/>
  <c r="N19" i="5"/>
  <c r="M19" i="5"/>
  <c r="O19" i="5"/>
  <c r="D19" i="5"/>
  <c r="H19" i="5"/>
  <c r="K19" i="5"/>
  <c r="G19" i="5"/>
  <c r="I19" i="5"/>
  <c r="AC4" i="8"/>
  <c r="AA11" i="5" s="1"/>
  <c r="K4" i="7"/>
  <c r="I10" i="5" s="1"/>
  <c r="I12" i="5" s="1"/>
  <c r="AB46" i="7"/>
  <c r="AC46" i="7" s="1"/>
  <c r="M4" i="7"/>
  <c r="K10" i="5" s="1"/>
  <c r="K12" i="5" s="1"/>
  <c r="AB61" i="7"/>
  <c r="AC61" i="7" s="1"/>
  <c r="I4" i="7"/>
  <c r="G10" i="5" s="1"/>
  <c r="G12" i="5" s="1"/>
  <c r="L12" i="5"/>
  <c r="D12" i="5"/>
  <c r="Z14" i="5"/>
  <c r="H4" i="11"/>
  <c r="F15" i="5" s="1"/>
  <c r="AC4" i="11"/>
  <c r="AC4" i="10"/>
  <c r="AA14" i="5" s="1"/>
  <c r="AC4" i="9"/>
  <c r="AA13" i="5" s="1"/>
  <c r="AB4" i="9"/>
  <c r="AC4" i="6"/>
  <c r="AB4" i="6"/>
  <c r="H4" i="6" s="1"/>
  <c r="H12" i="5"/>
  <c r="O5" i="2"/>
  <c r="X5" i="2"/>
  <c r="S5" i="2"/>
  <c r="K5" i="2"/>
  <c r="W5" i="2"/>
  <c r="Z6" i="5"/>
  <c r="P5" i="2"/>
  <c r="Y5" i="2"/>
  <c r="L5" i="2"/>
  <c r="T5" i="2"/>
  <c r="N5" i="2"/>
  <c r="V5" i="2"/>
  <c r="Z5" i="2"/>
  <c r="U5" i="2"/>
  <c r="M5" i="2"/>
  <c r="AA5" i="2"/>
  <c r="Q5" i="2"/>
  <c r="R5" i="2"/>
  <c r="AB4" i="4"/>
  <c r="Z8" i="5" s="1"/>
  <c r="I5" i="2"/>
  <c r="F7" i="5"/>
  <c r="AB4" i="8" l="1"/>
  <c r="Z11" i="5" s="1"/>
  <c r="Z13" i="5"/>
  <c r="Z19" i="5" s="1"/>
  <c r="AB4" i="7"/>
  <c r="Z10" i="5" s="1"/>
  <c r="F14" i="5"/>
  <c r="AC5" i="11"/>
  <c r="AA15" i="5"/>
  <c r="AA19" i="5" s="1"/>
  <c r="Q5" i="11"/>
  <c r="M5" i="11"/>
  <c r="Y5" i="11"/>
  <c r="U5" i="11"/>
  <c r="N5" i="11"/>
  <c r="K5" i="11"/>
  <c r="AA5" i="11"/>
  <c r="L5" i="11"/>
  <c r="X5" i="11"/>
  <c r="V5" i="11"/>
  <c r="S5" i="11"/>
  <c r="W5" i="11"/>
  <c r="R5" i="11"/>
  <c r="O5" i="11"/>
  <c r="P5" i="11"/>
  <c r="I5" i="11"/>
  <c r="Z5" i="11"/>
  <c r="T5" i="11"/>
  <c r="AB5" i="11"/>
  <c r="H4" i="4"/>
  <c r="W5" i="4" s="1"/>
  <c r="AB5" i="3"/>
  <c r="U5" i="3"/>
  <c r="N5" i="3"/>
  <c r="L5" i="3"/>
  <c r="P5" i="3"/>
  <c r="S5" i="3"/>
  <c r="W5" i="3"/>
  <c r="Z5" i="3"/>
  <c r="R5" i="3"/>
  <c r="Y5" i="3"/>
  <c r="T5" i="3"/>
  <c r="X5" i="3"/>
  <c r="AC5" i="3"/>
  <c r="V5" i="3"/>
  <c r="M5" i="3"/>
  <c r="AA5" i="3"/>
  <c r="K5" i="3"/>
  <c r="Q5" i="3"/>
  <c r="I5" i="3"/>
  <c r="O5" i="3"/>
  <c r="H4" i="7" l="1"/>
  <c r="AB5" i="7" s="1"/>
  <c r="Z12" i="5"/>
  <c r="H4" i="8"/>
  <c r="F11" i="5" s="1"/>
  <c r="AC5" i="9"/>
  <c r="F13" i="5"/>
  <c r="F19" i="5" s="1"/>
  <c r="T5" i="10"/>
  <c r="R5" i="10"/>
  <c r="Z5" i="10"/>
  <c r="K5" i="10"/>
  <c r="AC5" i="10"/>
  <c r="Y5" i="10"/>
  <c r="U5" i="10"/>
  <c r="S5" i="10"/>
  <c r="AA5" i="10"/>
  <c r="V5" i="10"/>
  <c r="I5" i="10"/>
  <c r="M5" i="10"/>
  <c r="L5" i="10"/>
  <c r="Q5" i="10"/>
  <c r="N5" i="10"/>
  <c r="AB5" i="10"/>
  <c r="P5" i="10"/>
  <c r="O5" i="10"/>
  <c r="W5" i="10"/>
  <c r="X5" i="10"/>
  <c r="AB5" i="9"/>
  <c r="Y5" i="9"/>
  <c r="Z5" i="9"/>
  <c r="N5" i="9"/>
  <c r="T5" i="9"/>
  <c r="L5" i="9"/>
  <c r="S5" i="9"/>
  <c r="X5" i="9"/>
  <c r="P5" i="9"/>
  <c r="V5" i="9"/>
  <c r="AA5" i="9"/>
  <c r="R5" i="9"/>
  <c r="W5" i="9"/>
  <c r="U5" i="9"/>
  <c r="O5" i="9"/>
  <c r="M5" i="9"/>
  <c r="K5" i="9"/>
  <c r="Q5" i="9"/>
  <c r="Y5" i="7"/>
  <c r="Q5" i="6"/>
  <c r="R5" i="6"/>
  <c r="O5" i="6"/>
  <c r="L5" i="6"/>
  <c r="U5" i="6"/>
  <c r="V5" i="6"/>
  <c r="S5" i="6"/>
  <c r="P5" i="6"/>
  <c r="Y5" i="6"/>
  <c r="Z5" i="6"/>
  <c r="W5" i="6"/>
  <c r="T5" i="6"/>
  <c r="M5" i="6"/>
  <c r="N5" i="6"/>
  <c r="K5" i="6"/>
  <c r="AA5" i="6"/>
  <c r="X5" i="6"/>
  <c r="I5" i="6"/>
  <c r="AC5" i="6"/>
  <c r="AB5" i="6"/>
  <c r="M5" i="4"/>
  <c r="L5" i="4"/>
  <c r="X5" i="4"/>
  <c r="N5" i="4"/>
  <c r="K5" i="4"/>
  <c r="U5" i="4"/>
  <c r="S5" i="4"/>
  <c r="F8" i="5"/>
  <c r="AA5" i="4"/>
  <c r="V5" i="4"/>
  <c r="T5" i="4"/>
  <c r="Y5" i="4"/>
  <c r="Z5" i="4"/>
  <c r="P5" i="4"/>
  <c r="AB5" i="4"/>
  <c r="I5" i="4"/>
  <c r="R5" i="4"/>
  <c r="Q5" i="4"/>
  <c r="O5" i="4"/>
  <c r="AC4" i="4"/>
  <c r="Q5" i="7" l="1"/>
  <c r="V5" i="7"/>
  <c r="Z5" i="7"/>
  <c r="M5" i="7"/>
  <c r="S5" i="7"/>
  <c r="I5" i="7"/>
  <c r="X5" i="7"/>
  <c r="W5" i="7"/>
  <c r="U5" i="7"/>
  <c r="N5" i="7"/>
  <c r="K5" i="7"/>
  <c r="R5" i="7"/>
  <c r="O5" i="7"/>
  <c r="F10" i="5"/>
  <c r="F12" i="5" s="1"/>
  <c r="L5" i="7"/>
  <c r="AA5" i="7"/>
  <c r="T5" i="7"/>
  <c r="P5" i="7"/>
  <c r="W5" i="8"/>
  <c r="N5" i="8"/>
  <c r="Z5" i="8"/>
  <c r="M5" i="8"/>
  <c r="S5" i="8"/>
  <c r="AB5" i="8"/>
  <c r="I5" i="8"/>
  <c r="R5" i="8"/>
  <c r="L5" i="8"/>
  <c r="P5" i="8"/>
  <c r="AC5" i="8"/>
  <c r="T5" i="8"/>
  <c r="Y5" i="8"/>
  <c r="U5" i="8"/>
  <c r="O5" i="8"/>
  <c r="K5" i="8"/>
  <c r="Q5" i="8"/>
  <c r="X5" i="8"/>
  <c r="AA5" i="8"/>
  <c r="V5" i="8"/>
  <c r="AC5" i="4"/>
  <c r="AA8" i="5"/>
  <c r="AC4" i="7" l="1"/>
  <c r="AC5" i="7" l="1"/>
  <c r="AA10" i="5"/>
  <c r="AC4" i="2" l="1"/>
  <c r="AC5" i="2" s="1"/>
  <c r="AA6" i="5" l="1"/>
  <c r="AA12" i="5" s="1"/>
</calcChain>
</file>

<file path=xl/sharedStrings.xml><?xml version="1.0" encoding="utf-8"?>
<sst xmlns="http://schemas.openxmlformats.org/spreadsheetml/2006/main" count="6606" uniqueCount="1198">
  <si>
    <t>Харилцагчийн нэр</t>
  </si>
  <si>
    <t>Харилцагчийн ТТД</t>
  </si>
  <si>
    <t>НӨАТ</t>
  </si>
  <si>
    <t>Цэвэр дүн</t>
  </si>
  <si>
    <t>Нийт дүн</t>
  </si>
  <si>
    <t>2025-02-26</t>
  </si>
  <si>
    <t>Хөрс-Авто сервис</t>
  </si>
  <si>
    <t>2090694</t>
  </si>
  <si>
    <t>Энгийн</t>
  </si>
  <si>
    <t>2025-03-30</t>
  </si>
  <si>
    <t>Шунхлайтрейдинг</t>
  </si>
  <si>
    <t>5506239</t>
  </si>
  <si>
    <t>2025-03-31</t>
  </si>
  <si>
    <t>Финикс экүйпмент</t>
  </si>
  <si>
    <t>5959918</t>
  </si>
  <si>
    <t xml:space="preserve">Сар </t>
  </si>
  <si>
    <t>Татварын төрөл</t>
  </si>
  <si>
    <t>Оффис хангамж</t>
  </si>
  <si>
    <t>Хүнс / кэмп</t>
  </si>
  <si>
    <t>ХАБ</t>
  </si>
  <si>
    <t>Хангамж</t>
  </si>
  <si>
    <t>Засварт</t>
  </si>
  <si>
    <t>Сэлбэг</t>
  </si>
  <si>
    <t>Түлш</t>
  </si>
  <si>
    <t>Тос тосолгоо</t>
  </si>
  <si>
    <t>Цалин</t>
  </si>
  <si>
    <t>НӨӨЦ ашигласны төлбөр</t>
  </si>
  <si>
    <t xml:space="preserve">торгууль </t>
  </si>
  <si>
    <t>Лиценз</t>
  </si>
  <si>
    <t>Нийгмийн Хариуцлага</t>
  </si>
  <si>
    <t xml:space="preserve">Нөхөн сэргэлтийн төлбөр </t>
  </si>
  <si>
    <t xml:space="preserve">хогны төлбөр </t>
  </si>
  <si>
    <t xml:space="preserve">газрын төлбөр </t>
  </si>
  <si>
    <t xml:space="preserve">Суутган </t>
  </si>
  <si>
    <t>НДШ</t>
  </si>
  <si>
    <t>нийт зардал</t>
  </si>
  <si>
    <t>Зардлын зөрүү</t>
  </si>
  <si>
    <t>Нийт Зардал</t>
  </si>
  <si>
    <t xml:space="preserve">1 сар </t>
  </si>
  <si>
    <t xml:space="preserve">2 сар </t>
  </si>
  <si>
    <t>3 сар</t>
  </si>
  <si>
    <t xml:space="preserve">4 сар </t>
  </si>
  <si>
    <t xml:space="preserve">5 сар </t>
  </si>
  <si>
    <t xml:space="preserve">6 сар </t>
  </si>
  <si>
    <t>Хагас жил</t>
  </si>
  <si>
    <t xml:space="preserve">7 сар </t>
  </si>
  <si>
    <t xml:space="preserve">8 сар </t>
  </si>
  <si>
    <t xml:space="preserve">9 сар </t>
  </si>
  <si>
    <t xml:space="preserve">10 сар </t>
  </si>
  <si>
    <t xml:space="preserve">11 сар </t>
  </si>
  <si>
    <t xml:space="preserve">12 сар </t>
  </si>
  <si>
    <t>2025 оны жилийн зардал</t>
  </si>
  <si>
    <t>2025-02-28</t>
  </si>
  <si>
    <t>Худалдаа хөгжлийн банк</t>
  </si>
  <si>
    <t>2635534</t>
  </si>
  <si>
    <t>Чөлөөлөгдөх</t>
  </si>
  <si>
    <t>ХААН банк</t>
  </si>
  <si>
    <t>2693321</t>
  </si>
  <si>
    <t>2025-02-18</t>
  </si>
  <si>
    <t>Очир ундраа ОМЗ ББСБ</t>
  </si>
  <si>
    <t>2734745</t>
  </si>
  <si>
    <t>2025-02-01</t>
  </si>
  <si>
    <t>Зээл</t>
  </si>
  <si>
    <t>2025-01-31</t>
  </si>
  <si>
    <t>Инвескор ББСБ</t>
  </si>
  <si>
    <t>6060854</t>
  </si>
  <si>
    <t>2025-01-15</t>
  </si>
  <si>
    <t>2025-01-01</t>
  </si>
  <si>
    <t>Капитронбанк</t>
  </si>
  <si>
    <t>2677377</t>
  </si>
  <si>
    <t>2025-03-10</t>
  </si>
  <si>
    <t>2025-04-30</t>
  </si>
  <si>
    <t>2025-04-24</t>
  </si>
  <si>
    <t>Тридум-Эсекьюрити</t>
  </si>
  <si>
    <t>5126096</t>
  </si>
  <si>
    <t>2025-04-23</t>
  </si>
  <si>
    <t>2025-04-01</t>
  </si>
  <si>
    <t>2025-05-31</t>
  </si>
  <si>
    <t>Эрхэмхангай</t>
  </si>
  <si>
    <t>5430836</t>
  </si>
  <si>
    <t>Зул маргад</t>
  </si>
  <si>
    <t>6983243</t>
  </si>
  <si>
    <t>ТОГТООЛ ЦЭВЭЛЛХАСҮРЭН</t>
  </si>
  <si>
    <t>НН75050868</t>
  </si>
  <si>
    <t>2025-05-30</t>
  </si>
  <si>
    <t>Их ноён од</t>
  </si>
  <si>
    <t>6007066</t>
  </si>
  <si>
    <t>Петростар</t>
  </si>
  <si>
    <t>5241901</t>
  </si>
  <si>
    <t>Ньюбулл</t>
  </si>
  <si>
    <t>2679396</t>
  </si>
  <si>
    <t>ТТЕМ</t>
  </si>
  <si>
    <t>5459591</t>
  </si>
  <si>
    <t>2025-05-29</t>
  </si>
  <si>
    <t>Содмонгол групп</t>
  </si>
  <si>
    <t>2577739</t>
  </si>
  <si>
    <t>2025-05-28</t>
  </si>
  <si>
    <t>Алханатрейд</t>
  </si>
  <si>
    <t>2595192</t>
  </si>
  <si>
    <t>Глобал инноватив фүүд трэжүр</t>
  </si>
  <si>
    <t>6799272</t>
  </si>
  <si>
    <t>ХУЛАНЗАЯА</t>
  </si>
  <si>
    <t>2614057</t>
  </si>
  <si>
    <t>Нарлаг толгод</t>
  </si>
  <si>
    <t>8420963</t>
  </si>
  <si>
    <t>2025-05-27</t>
  </si>
  <si>
    <t>Алтаннаран од</t>
  </si>
  <si>
    <t>5177944</t>
  </si>
  <si>
    <t>2025-05-26</t>
  </si>
  <si>
    <t>Гэрлэн сондор</t>
  </si>
  <si>
    <t>5970849</t>
  </si>
  <si>
    <t>Сибкабель энержи</t>
  </si>
  <si>
    <t>5391571</t>
  </si>
  <si>
    <t>2025-05-24</t>
  </si>
  <si>
    <t>Буурал чилсаана</t>
  </si>
  <si>
    <t>7013617</t>
  </si>
  <si>
    <t>Синчи газ</t>
  </si>
  <si>
    <t>2638126</t>
  </si>
  <si>
    <t>2025-05-23</t>
  </si>
  <si>
    <t>АЛТАНЖОЛОО ТРЕЙД</t>
  </si>
  <si>
    <t>2057441</t>
  </si>
  <si>
    <t>2025-05-22</t>
  </si>
  <si>
    <t>Эзэн цахар</t>
  </si>
  <si>
    <t>6081193</t>
  </si>
  <si>
    <t>2025-05-21</t>
  </si>
  <si>
    <t>Юнигаз</t>
  </si>
  <si>
    <t>2847817</t>
  </si>
  <si>
    <t>2025-05-20</t>
  </si>
  <si>
    <t>Мобиком корпораци</t>
  </si>
  <si>
    <t>2072572</t>
  </si>
  <si>
    <t>Бишрэлтхан</t>
  </si>
  <si>
    <t>2695251</t>
  </si>
  <si>
    <t>2025-05-19</t>
  </si>
  <si>
    <t>Мөнхийн төгс мичид</t>
  </si>
  <si>
    <t>6538703</t>
  </si>
  <si>
    <t>Ариг-Интернэшнл</t>
  </si>
  <si>
    <t>2809184</t>
  </si>
  <si>
    <t>Мон-Инчон</t>
  </si>
  <si>
    <t>2848694</t>
  </si>
  <si>
    <t>2025-05-17</t>
  </si>
  <si>
    <t>Дашваанжил групп</t>
  </si>
  <si>
    <t>2025191</t>
  </si>
  <si>
    <t>2025-05-16</t>
  </si>
  <si>
    <t>Премиум палас</t>
  </si>
  <si>
    <t>5933463</t>
  </si>
  <si>
    <t>МТ хан-уул</t>
  </si>
  <si>
    <t>2779188</t>
  </si>
  <si>
    <t>Бат сэмжид</t>
  </si>
  <si>
    <t>6835163</t>
  </si>
  <si>
    <t>Янгирхайрхан</t>
  </si>
  <si>
    <t>2590905</t>
  </si>
  <si>
    <t>Монмийт трейд</t>
  </si>
  <si>
    <t>5136113</t>
  </si>
  <si>
    <t>ИДЭШ ЭРИНДАВАА</t>
  </si>
  <si>
    <t>ПБ70012433</t>
  </si>
  <si>
    <t>2025-05-15</t>
  </si>
  <si>
    <t>Синчи-Ойл</t>
  </si>
  <si>
    <t>2588617</t>
  </si>
  <si>
    <t>2025-05-14</t>
  </si>
  <si>
    <t>2025-06-30</t>
  </si>
  <si>
    <t>2025-06-29</t>
  </si>
  <si>
    <t>Сүү</t>
  </si>
  <si>
    <t>2077108</t>
  </si>
  <si>
    <t>Максхүнс</t>
  </si>
  <si>
    <t>5046688</t>
  </si>
  <si>
    <t>2025-06-27</t>
  </si>
  <si>
    <t>2025-06-26</t>
  </si>
  <si>
    <t>2025-06-25</t>
  </si>
  <si>
    <t>Аж-Эрдэнэ</t>
  </si>
  <si>
    <t>2876256</t>
  </si>
  <si>
    <t>Солюшн ойл</t>
  </si>
  <si>
    <t>6584055</t>
  </si>
  <si>
    <t>2025-06-24</t>
  </si>
  <si>
    <t>МТ петролиум</t>
  </si>
  <si>
    <t>5043913</t>
  </si>
  <si>
    <t>Монос-Улаанбаатар</t>
  </si>
  <si>
    <t>2708558</t>
  </si>
  <si>
    <t>2025-06-23</t>
  </si>
  <si>
    <t>Хаянхярваа ОЮУНТУЯА</t>
  </si>
  <si>
    <t>УЮ87072401</t>
  </si>
  <si>
    <t>2025-06-22</t>
  </si>
  <si>
    <t>2025-06-21</t>
  </si>
  <si>
    <t>2025-06-20</t>
  </si>
  <si>
    <t>Баян өндөр констракшн</t>
  </si>
  <si>
    <t>6260063</t>
  </si>
  <si>
    <t>2025-06-17</t>
  </si>
  <si>
    <t>Хулст толгой</t>
  </si>
  <si>
    <t>6025587</t>
  </si>
  <si>
    <t>2025-06-16</t>
  </si>
  <si>
    <t>2025-06-15</t>
  </si>
  <si>
    <t>Найманталт уул</t>
  </si>
  <si>
    <t>5057884</t>
  </si>
  <si>
    <t>2025-06-14</t>
  </si>
  <si>
    <t>Наран Жи энд Эм</t>
  </si>
  <si>
    <t>6523668</t>
  </si>
  <si>
    <t>2025-06-13</t>
  </si>
  <si>
    <t>ШИЖИРБААТАР ОЮУНГЭРЭЛ</t>
  </si>
  <si>
    <t>НО98071909</t>
  </si>
  <si>
    <t>2025-06-12</t>
  </si>
  <si>
    <t>Ундарга-Увс</t>
  </si>
  <si>
    <t>2553848</t>
  </si>
  <si>
    <t>Мөнгөтхад</t>
  </si>
  <si>
    <t>2788926</t>
  </si>
  <si>
    <t>ЖАДАМБА ОТГОНСҮРЭН</t>
  </si>
  <si>
    <t>ШЖ76112907</t>
  </si>
  <si>
    <t>2025-06-11</t>
  </si>
  <si>
    <t>Монсуль</t>
  </si>
  <si>
    <t>2794241</t>
  </si>
  <si>
    <t>2025-06-09</t>
  </si>
  <si>
    <t>Таван богд фүүдс пицца</t>
  </si>
  <si>
    <t>5803403</t>
  </si>
  <si>
    <t>Монгол Зөвлөлтийн хувь нийлүүлсэн нийгэмлэг Улаанбаатар төмөр зам</t>
  </si>
  <si>
    <t>2076675</t>
  </si>
  <si>
    <t>ГАНБАТ ЦЭНДДУЛАМ</t>
  </si>
  <si>
    <t>НЩ96091607</t>
  </si>
  <si>
    <t>2025-06-07</t>
  </si>
  <si>
    <t>2025-06-06</t>
  </si>
  <si>
    <t>2025-06-04</t>
  </si>
  <si>
    <t>Мөби ойл</t>
  </si>
  <si>
    <t>6688187</t>
  </si>
  <si>
    <t>Тод ойл</t>
  </si>
  <si>
    <t>6415636</t>
  </si>
  <si>
    <t>2025-06-03</t>
  </si>
  <si>
    <t>2025-06-02</t>
  </si>
  <si>
    <t>2025-06-01</t>
  </si>
  <si>
    <t>Виниато</t>
  </si>
  <si>
    <t>6211089</t>
  </si>
  <si>
    <t>Мидори соогэн</t>
  </si>
  <si>
    <t>8378347</t>
  </si>
  <si>
    <t>27,857,685.62₮</t>
  </si>
  <si>
    <t>29,268,173.09₮</t>
  </si>
  <si>
    <t>1,410,487.47₮</t>
  </si>
  <si>
    <t>НХАТ</t>
  </si>
  <si>
    <t>9,599,257.41₮</t>
  </si>
  <si>
    <t>9,586,075.59₮</t>
  </si>
  <si>
    <t>13,181.82₮</t>
  </si>
  <si>
    <t>18,357,323.05₮</t>
  </si>
  <si>
    <t>18,905,233.76₮</t>
  </si>
  <si>
    <t>547,910.71₮</t>
  </si>
  <si>
    <t>11,097.86₮</t>
  </si>
  <si>
    <t>2025-07-31</t>
  </si>
  <si>
    <t>Глобал-Ацетилен</t>
  </si>
  <si>
    <t>5361184</t>
  </si>
  <si>
    <t>Балхур</t>
  </si>
  <si>
    <t>6608329</t>
  </si>
  <si>
    <t>ЮНИТЕЛ</t>
  </si>
  <si>
    <t>5036895</t>
  </si>
  <si>
    <t>Моннидер</t>
  </si>
  <si>
    <t>2824795</t>
  </si>
  <si>
    <t>Өсөх идэр ирээдүй</t>
  </si>
  <si>
    <t>6548644</t>
  </si>
  <si>
    <t>Буман боолт трейд</t>
  </si>
  <si>
    <t>6397085</t>
  </si>
  <si>
    <t>ДЭМБЭРЭЛСҮРЭН ЭРДЭНЭЦЭЦЭГ</t>
  </si>
  <si>
    <t>НЭ70032367</t>
  </si>
  <si>
    <t>2025-07-30</t>
  </si>
  <si>
    <t>ЦЭЭЛХАСҮРЭН МӨНХБАЯР</t>
  </si>
  <si>
    <t>НЬ80093074</t>
  </si>
  <si>
    <t>Хангайн түшиг рөүд</t>
  </si>
  <si>
    <t>6577482</t>
  </si>
  <si>
    <t>2025-07-29</t>
  </si>
  <si>
    <t>ЦГН</t>
  </si>
  <si>
    <t>5393469</t>
  </si>
  <si>
    <t>2025-07-26</t>
  </si>
  <si>
    <t>Шижир-Ойл</t>
  </si>
  <si>
    <t>2791161</t>
  </si>
  <si>
    <t>Модерн классик</t>
  </si>
  <si>
    <t>5955335</t>
  </si>
  <si>
    <t>2025-07-25</t>
  </si>
  <si>
    <t>Хурд ирээдүйн шинэ хүч</t>
  </si>
  <si>
    <t>8369887</t>
  </si>
  <si>
    <t>ЦОБУ дэвшил</t>
  </si>
  <si>
    <t>5783275</t>
  </si>
  <si>
    <t>Пи Си молл электроникс</t>
  </si>
  <si>
    <t>6906591</t>
  </si>
  <si>
    <t>2025-07-24</t>
  </si>
  <si>
    <t>Алтан их бүс</t>
  </si>
  <si>
    <t>5922321</t>
  </si>
  <si>
    <t>2025-07-23</t>
  </si>
  <si>
    <t>Аргал ойл</t>
  </si>
  <si>
    <t>6309011</t>
  </si>
  <si>
    <t>2025-07-22</t>
  </si>
  <si>
    <t>2025-07-21</t>
  </si>
  <si>
    <t>НИК</t>
  </si>
  <si>
    <t>2075261</t>
  </si>
  <si>
    <t>ДТУБ сүмбэрэл</t>
  </si>
  <si>
    <t>6717268</t>
  </si>
  <si>
    <t>Вираго куалити</t>
  </si>
  <si>
    <t>6687857</t>
  </si>
  <si>
    <t>2025-07-20</t>
  </si>
  <si>
    <t>2025-07-18</t>
  </si>
  <si>
    <t>2025-07-17</t>
  </si>
  <si>
    <t>2025-07-16</t>
  </si>
  <si>
    <t>ДОРЖ ДАМДИННАВАГ</t>
  </si>
  <si>
    <t>ПЮ69042116</t>
  </si>
  <si>
    <t>2025-07-15</t>
  </si>
  <si>
    <t>Премиум нэксус</t>
  </si>
  <si>
    <t>6155804</t>
  </si>
  <si>
    <t>Номин хайпермаркет баруун бүс</t>
  </si>
  <si>
    <t>7173713</t>
  </si>
  <si>
    <t>ДИСДАА ЭНХТӨР</t>
  </si>
  <si>
    <t>ТК87042312</t>
  </si>
  <si>
    <t>2025-07-14</t>
  </si>
  <si>
    <t>2025-07-12</t>
  </si>
  <si>
    <t>Ойнбирж</t>
  </si>
  <si>
    <t>2026945</t>
  </si>
  <si>
    <t>2025-07-11</t>
  </si>
  <si>
    <t>2025-07-10</t>
  </si>
  <si>
    <t>Дэ булл хот пот</t>
  </si>
  <si>
    <t>7045057</t>
  </si>
  <si>
    <t>2025-07-09</t>
  </si>
  <si>
    <t>2025-07-08</t>
  </si>
  <si>
    <t>Чинзасагт</t>
  </si>
  <si>
    <t>4491025</t>
  </si>
  <si>
    <t>Баялагжимс</t>
  </si>
  <si>
    <t>5204569</t>
  </si>
  <si>
    <t>Хулхан</t>
  </si>
  <si>
    <t>2744783</t>
  </si>
  <si>
    <t>Малтзсэлес</t>
  </si>
  <si>
    <t>5205093</t>
  </si>
  <si>
    <t>2025-07-07</t>
  </si>
  <si>
    <t>Улсын нэгдүгээр төв эмнэлэг</t>
  </si>
  <si>
    <t>9077138</t>
  </si>
  <si>
    <t>2025-07-06</t>
  </si>
  <si>
    <t>Ти Эм ойл</t>
  </si>
  <si>
    <t>6099866</t>
  </si>
  <si>
    <t>2025-07-05</t>
  </si>
  <si>
    <t>Ганболд ЦЭЛМЭГ</t>
  </si>
  <si>
    <t>УП04310154</t>
  </si>
  <si>
    <t>Номин бизнес клуб</t>
  </si>
  <si>
    <t>6736106</t>
  </si>
  <si>
    <t>ЛХАМСҮРЭН ОТГОНБАЯР</t>
  </si>
  <si>
    <t>АЯ94060507</t>
  </si>
  <si>
    <t>ЧУЛУУНХҮҮ ДОЛЖИНСҮРЭН</t>
  </si>
  <si>
    <t>ЧС60090569</t>
  </si>
  <si>
    <t>ГОМБО ДЭЛГЭРМАА</t>
  </si>
  <si>
    <t>ШЕ70110962</t>
  </si>
  <si>
    <t>2025-07-04</t>
  </si>
  <si>
    <t>2025-07-03</t>
  </si>
  <si>
    <t>2025-07-02</t>
  </si>
  <si>
    <t>Ганхуяг БОЛОР-ЭРДЭНЭ</t>
  </si>
  <si>
    <t>УЦ91010711</t>
  </si>
  <si>
    <t>2025-07-01</t>
  </si>
  <si>
    <t>40,162,427.78₮</t>
  </si>
  <si>
    <t>38,051,532.09₮</t>
  </si>
  <si>
    <t>28,992.65₮</t>
  </si>
  <si>
    <t>2,110,895.69₮</t>
  </si>
  <si>
    <t>2025-08-31</t>
  </si>
  <si>
    <t>ХОЛООХ БАТДОРЖ</t>
  </si>
  <si>
    <t>НХ77112514</t>
  </si>
  <si>
    <t>БАТБОЛД БАТСҮРЭН</t>
  </si>
  <si>
    <t>ВВ00260305</t>
  </si>
  <si>
    <t>НТТБ</t>
  </si>
  <si>
    <t>5730899</t>
  </si>
  <si>
    <t>2025-08-30</t>
  </si>
  <si>
    <t>Чайна бүүкинг</t>
  </si>
  <si>
    <t>8355541</t>
  </si>
  <si>
    <t>2025-08-29</t>
  </si>
  <si>
    <t>Алтантариа</t>
  </si>
  <si>
    <t>2075083</t>
  </si>
  <si>
    <t>Номин хайпермаркет</t>
  </si>
  <si>
    <t>6736076</t>
  </si>
  <si>
    <t>Атархишиг</t>
  </si>
  <si>
    <t>2708434</t>
  </si>
  <si>
    <t>Цэвэр хөрсний шим</t>
  </si>
  <si>
    <t>6302661</t>
  </si>
  <si>
    <t>БАТАСО</t>
  </si>
  <si>
    <t>6300243</t>
  </si>
  <si>
    <t>ЭДТ</t>
  </si>
  <si>
    <t>2873621</t>
  </si>
  <si>
    <t>Барилга архитектур корпораци</t>
  </si>
  <si>
    <t>2117738</t>
  </si>
  <si>
    <t>2025-08-28</t>
  </si>
  <si>
    <t>2025-08-27</t>
  </si>
  <si>
    <t>Хоосдоктор</t>
  </si>
  <si>
    <t>4266501</t>
  </si>
  <si>
    <t>Агьт-Аривжих</t>
  </si>
  <si>
    <t>2890461</t>
  </si>
  <si>
    <t>МКЛ</t>
  </si>
  <si>
    <t>2893932</t>
  </si>
  <si>
    <t>2025-08-26</t>
  </si>
  <si>
    <t>2025-08-25</t>
  </si>
  <si>
    <t>Даблью Эс И монголиа</t>
  </si>
  <si>
    <t>6363911</t>
  </si>
  <si>
    <t>Байгал бургиа</t>
  </si>
  <si>
    <t>6296262</t>
  </si>
  <si>
    <t>2025-08-24</t>
  </si>
  <si>
    <t>2025-08-23</t>
  </si>
  <si>
    <t>2025-08-22</t>
  </si>
  <si>
    <t>Вайлд резорт</t>
  </si>
  <si>
    <t>5968615</t>
  </si>
  <si>
    <t>ШАР ЦЭРЭННАНЖИД</t>
  </si>
  <si>
    <t>ЗП75080503</t>
  </si>
  <si>
    <t>НЯМЖАВ ОТГОНБААТАР</t>
  </si>
  <si>
    <t>УХ88122116</t>
  </si>
  <si>
    <t>ХҮРЛЭЭ УРАНЦЭЦЭГ</t>
  </si>
  <si>
    <t>ЛЖ86032601</t>
  </si>
  <si>
    <t>2025-08-21</t>
  </si>
  <si>
    <t>Монголцзэн тай</t>
  </si>
  <si>
    <t>2668289</t>
  </si>
  <si>
    <t>2025-08-20</t>
  </si>
  <si>
    <t>Зесгал</t>
  </si>
  <si>
    <t>6247164</t>
  </si>
  <si>
    <t>Номин-Үүрэг</t>
  </si>
  <si>
    <t>5504996</t>
  </si>
  <si>
    <t>Тера стийл</t>
  </si>
  <si>
    <t>6587275</t>
  </si>
  <si>
    <t>2025-08-19</t>
  </si>
  <si>
    <t>2025-08-18</t>
  </si>
  <si>
    <t>Түмэнтросс</t>
  </si>
  <si>
    <t>5849683</t>
  </si>
  <si>
    <t>2025-08-16</t>
  </si>
  <si>
    <t>Докторгенри</t>
  </si>
  <si>
    <t>5600278</t>
  </si>
  <si>
    <t>Талст дэвжих капитал</t>
  </si>
  <si>
    <t>8325367</t>
  </si>
  <si>
    <t>2025-08-15</t>
  </si>
  <si>
    <t>САН ПЕТРОЛИУМ</t>
  </si>
  <si>
    <t>6390374</t>
  </si>
  <si>
    <t>2025-08-14</t>
  </si>
  <si>
    <t>Ургах эрдэм хөгжил</t>
  </si>
  <si>
    <t>6534554</t>
  </si>
  <si>
    <t>Тэнүүн өлзий металл</t>
  </si>
  <si>
    <t>6530729</t>
  </si>
  <si>
    <t>2025-08-13</t>
  </si>
  <si>
    <t>Дэмжин өсөхүйн барилдлага</t>
  </si>
  <si>
    <t>7120521</t>
  </si>
  <si>
    <t>Ган арвижих төмөр</t>
  </si>
  <si>
    <t>7153993</t>
  </si>
  <si>
    <t>2025-08-12</t>
  </si>
  <si>
    <t xml:space="preserve">Бөхбат партнеринг </t>
  </si>
  <si>
    <t>6448089</t>
  </si>
  <si>
    <t>Бугант шунхлай</t>
  </si>
  <si>
    <t>6488706</t>
  </si>
  <si>
    <t>Панзэр рөүд</t>
  </si>
  <si>
    <t>6728537</t>
  </si>
  <si>
    <t>2025-08-11</t>
  </si>
  <si>
    <t>ЦАГААНЦООЖ СОСОРБАРАМ</t>
  </si>
  <si>
    <t>ПЮ79021500</t>
  </si>
  <si>
    <t>2025-08-10</t>
  </si>
  <si>
    <t>ДАШДОРЖ ЭНХМАНДАХ</t>
  </si>
  <si>
    <t>ГП89053112</t>
  </si>
  <si>
    <t>2025-08-09</t>
  </si>
  <si>
    <t>Номадсхоспиталити</t>
  </si>
  <si>
    <t>2737329</t>
  </si>
  <si>
    <t>Хүннү-Эйр</t>
  </si>
  <si>
    <t>5514339</t>
  </si>
  <si>
    <t>2025-08-08</t>
  </si>
  <si>
    <t>АГГТХ</t>
  </si>
  <si>
    <t>6480411</t>
  </si>
  <si>
    <t>Хөлсэр</t>
  </si>
  <si>
    <t>5910986</t>
  </si>
  <si>
    <t>Ихэрбүрд</t>
  </si>
  <si>
    <t>5491762</t>
  </si>
  <si>
    <t>2025-08-07</t>
  </si>
  <si>
    <t>ЖАМБАЛЖАВ ХОРЛОО</t>
  </si>
  <si>
    <t>ШД72073163</t>
  </si>
  <si>
    <t>ГАНТУЛГА МӨНХДАЛАЙ</t>
  </si>
  <si>
    <t>УС86101903</t>
  </si>
  <si>
    <t>БАТЭРДЭНЭ МАРАЛМАА</t>
  </si>
  <si>
    <t>УЗ92072565</t>
  </si>
  <si>
    <t>2025-08-06</t>
  </si>
  <si>
    <t>2025-08-05</t>
  </si>
  <si>
    <t>Хосбилгүүн зул</t>
  </si>
  <si>
    <t>5200482</t>
  </si>
  <si>
    <t>ШИЖИРБААТАР ЛХАГВАСҮРЭН</t>
  </si>
  <si>
    <t>НО94102609</t>
  </si>
  <si>
    <t>2025-08-04</t>
  </si>
  <si>
    <t>Хос судар</t>
  </si>
  <si>
    <t>6039731</t>
  </si>
  <si>
    <t>Содон сондор гэрэлтүүлэг</t>
  </si>
  <si>
    <t>3576388</t>
  </si>
  <si>
    <t>2025-08-03</t>
  </si>
  <si>
    <t>Касс таун групп</t>
  </si>
  <si>
    <t>6358128</t>
  </si>
  <si>
    <t>2025-08-02</t>
  </si>
  <si>
    <t>2025-08-01</t>
  </si>
  <si>
    <t>0 Хувь хэрэглэх</t>
  </si>
  <si>
    <t>85,991,712.59₮</t>
  </si>
  <si>
    <t>82,049,857.91₮</t>
  </si>
  <si>
    <t>3,941,854.68₮</t>
  </si>
  <si>
    <t>69,748.21₮</t>
  </si>
  <si>
    <t>6,298,470.23₮</t>
  </si>
  <si>
    <t>6,045,944.33₮</t>
  </si>
  <si>
    <t>252,525.9₮</t>
  </si>
  <si>
    <t>ДОЛГОР БОЛДХУЯГ</t>
  </si>
  <si>
    <t>РД77112800</t>
  </si>
  <si>
    <t>Их төмөрт</t>
  </si>
  <si>
    <t>6036031</t>
  </si>
  <si>
    <t>Энх арвай</t>
  </si>
  <si>
    <t>6237614</t>
  </si>
  <si>
    <t>Сигначэрдизайнз</t>
  </si>
  <si>
    <t>5538009</t>
  </si>
  <si>
    <t>Жэм хантер</t>
  </si>
  <si>
    <t>7107201</t>
  </si>
  <si>
    <t>Чиглэл</t>
  </si>
  <si>
    <t>2113104</t>
  </si>
  <si>
    <t>Зөв-Өнгө</t>
  </si>
  <si>
    <t>5565324</t>
  </si>
  <si>
    <t>Нью улаанбаатар интернэйшнл эйрпорт</t>
  </si>
  <si>
    <t>3874095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</si>
  <si>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</si>
  <si>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</si>
  <si>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</si>
  <si>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</si>
  <si>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</si>
  <si>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</si>
  <si>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</si>
  <si>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</si>
  <si>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</si>
  <si>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</si>
  <si>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r>
      <rPr>
        <sz val="8"/>
        <rFont val="Calibri"/>
      </rPr>
      <t>2025-07-06T20:59:32</t>
    </r>
  </si>
  <si>
    <r>
      <rPr>
        <sz val="8"/>
        <rFont val="Calibri"/>
      </rPr>
      <t>6 SAR TSALIN,ҮРЧГЭР ТӨМӨРБААТАР,ТӨРИЙН Б</t>
    </r>
  </si>
  <si>
    <r>
      <rPr>
        <sz val="8"/>
        <rFont val="Calibri"/>
      </rPr>
      <t>ҮРЧГЭР ТӨМӨРБААТАР</t>
    </r>
  </si>
  <si>
    <r>
      <rPr>
        <sz val="8"/>
        <rFont val="Calibri"/>
      </rPr>
      <t>MN740034241300032146</t>
    </r>
  </si>
  <si>
    <t/>
  </si>
  <si>
    <r>
      <rPr>
        <sz val="8"/>
        <rFont val="Calibri"/>
      </rPr>
      <t>2025-07-06T21:06:51</t>
    </r>
  </si>
  <si>
    <r>
      <rPr>
        <sz val="8"/>
        <rFont val="Calibri"/>
      </rPr>
      <t>6 SAR TSALIN,БАТТОГТОХ ДОВЧИН,ТӨРИЙН БАН</t>
    </r>
  </si>
  <si>
    <r>
      <rPr>
        <sz val="8"/>
        <rFont val="Calibri"/>
      </rPr>
      <t>БАТТОГТОХ ДОВЧИН</t>
    </r>
  </si>
  <si>
    <r>
      <rPr>
        <sz val="8"/>
        <rFont val="Calibri"/>
      </rPr>
      <t>MN790034340502550528</t>
    </r>
  </si>
  <si>
    <r>
      <rPr>
        <sz val="8"/>
        <rFont val="Calibri"/>
      </rPr>
      <t>2025-07-06T21:13:58</t>
    </r>
  </si>
  <si>
    <r>
      <rPr>
        <sz val="8"/>
        <rFont val="Calibri"/>
      </rPr>
      <t>6 SAR TSALIN,АРИУНБОЛД БАТСУУРЬ,ХУД ХӨГЖ</t>
    </r>
  </si>
  <si>
    <r>
      <rPr>
        <sz val="8"/>
        <rFont val="Calibri"/>
      </rPr>
      <t>АРИУНБОЛД БАТСУУРЬ</t>
    </r>
  </si>
  <si>
    <r>
      <rPr>
        <sz val="8"/>
        <rFont val="Calibri"/>
      </rPr>
      <t>MN700004000416064776</t>
    </r>
  </si>
  <si>
    <r>
      <rPr>
        <sz val="8"/>
        <rFont val="Calibri"/>
      </rPr>
      <t>2025-07-06T21:15:45</t>
    </r>
  </si>
  <si>
    <r>
      <rPr>
        <sz val="8"/>
        <rFont val="Calibri"/>
      </rPr>
      <t>6SAR TSALIN,СҮРЭНЖАВ МӨНХЦЭЦЭГ,ХААН ТӨВ</t>
    </r>
  </si>
  <si>
    <r>
      <rPr>
        <sz val="8"/>
        <rFont val="Calibri"/>
      </rPr>
      <t>СҮРЭНЖАВ МӨНХЦЭЦЭГ</t>
    </r>
  </si>
  <si>
    <r>
      <rPr>
        <sz val="8"/>
        <rFont val="Calibri"/>
      </rPr>
      <t>MN940005005270448015</t>
    </r>
  </si>
  <si>
    <r>
      <rPr>
        <sz val="8"/>
        <rFont val="Calibri"/>
      </rPr>
      <t>2025-07-06T21:18:36</t>
    </r>
  </si>
  <si>
    <r>
      <rPr>
        <sz val="8"/>
        <rFont val="Calibri"/>
      </rPr>
      <t>6 SAR TSALIN,ЭРДЭНЭЧИМЭГ СОДГЭРЭЛ,ХААН Т</t>
    </r>
  </si>
  <si>
    <r>
      <rPr>
        <sz val="8"/>
        <rFont val="Calibri"/>
      </rPr>
      <t>ЭРДЭНЭЧИМЭГ СОДГЭРЭЛ</t>
    </r>
  </si>
  <si>
    <r>
      <rPr>
        <sz val="8"/>
        <rFont val="Calibri"/>
      </rPr>
      <t>MN340005005055681783</t>
    </r>
  </si>
  <si>
    <r>
      <rPr>
        <sz val="8"/>
        <rFont val="Calibri"/>
      </rPr>
      <t>2025-07-06T21:20:34</t>
    </r>
  </si>
  <si>
    <r>
      <rPr>
        <sz val="8"/>
        <rFont val="Calibri"/>
      </rPr>
      <t>6 SAR TSALIN,ГҮРРАГЧАА СОСОРБАРАМ,ХААН Т</t>
    </r>
  </si>
  <si>
    <r>
      <rPr>
        <sz val="8"/>
        <rFont val="Calibri"/>
      </rPr>
      <t>ГҮРРАГЧАА СОСОРБАРАМ</t>
    </r>
  </si>
  <si>
    <r>
      <rPr>
        <sz val="8"/>
        <rFont val="Calibri"/>
      </rPr>
      <t>MN180005005328033336</t>
    </r>
  </si>
  <si>
    <r>
      <rPr>
        <sz val="8"/>
        <rFont val="Calibri"/>
      </rPr>
      <t>2025-07-06T21:24:37</t>
    </r>
  </si>
  <si>
    <r>
      <rPr>
        <sz val="8"/>
        <rFont val="Calibri"/>
      </rPr>
      <t>6 SAR TSALIN,ХОЛООХ БАТНЯМ,ХААН ТӨВ БАНК</t>
    </r>
  </si>
  <si>
    <r>
      <rPr>
        <sz val="8"/>
        <rFont val="Calibri"/>
      </rPr>
      <t>ХОЛООХ БАТНЯМ</t>
    </r>
  </si>
  <si>
    <r>
      <rPr>
        <sz val="8"/>
        <rFont val="Calibri"/>
      </rPr>
      <t>MN490005005721197058</t>
    </r>
  </si>
  <si>
    <r>
      <rPr>
        <sz val="8"/>
        <rFont val="Calibri"/>
      </rPr>
      <t>2025-07-06T21:26:16</t>
    </r>
  </si>
  <si>
    <r>
      <rPr>
        <sz val="8"/>
        <rFont val="Calibri"/>
      </rPr>
      <t>6 SAR TSALIN,ХУДАЙ ТӨМӨРХУЯГ,ХААН ТӨВ БА</t>
    </r>
  </si>
  <si>
    <r>
      <rPr>
        <sz val="8"/>
        <rFont val="Calibri"/>
      </rPr>
      <t>ХУДАЙ ТӨМӨРХУЯГ</t>
    </r>
  </si>
  <si>
    <r>
      <rPr>
        <sz val="8"/>
        <rFont val="Calibri"/>
      </rPr>
      <t>MN100005005030795992</t>
    </r>
  </si>
  <si>
    <r>
      <rPr>
        <sz val="8"/>
        <rFont val="Calibri"/>
      </rPr>
      <t>2025-07-06T21:29:05</t>
    </r>
  </si>
  <si>
    <r>
      <rPr>
        <sz val="8"/>
        <rFont val="Calibri"/>
      </rPr>
      <t>6 SAR TSALIN,ГЭРЭЛМАА МЯГМАРСҮРЭН,ХАС БА</t>
    </r>
  </si>
  <si>
    <r>
      <rPr>
        <sz val="8"/>
        <rFont val="Calibri"/>
      </rPr>
      <t>ГЭРЭЛМАА МЯГМАРСҮРЭН</t>
    </r>
  </si>
  <si>
    <r>
      <rPr>
        <sz val="8"/>
        <rFont val="Calibri"/>
      </rPr>
      <t>MN260032005006016577</t>
    </r>
  </si>
  <si>
    <r>
      <rPr>
        <sz val="8"/>
        <rFont val="Calibri"/>
      </rPr>
      <t>2025-07-06T21:31:06</t>
    </r>
  </si>
  <si>
    <r>
      <rPr>
        <sz val="8"/>
        <rFont val="Calibri"/>
      </rPr>
      <t>6 SAR TSALIN,ШАРХҮҮ ХҮРЭЛСҮХ,ХААН ТӨВ БА</t>
    </r>
  </si>
  <si>
    <r>
      <rPr>
        <sz val="8"/>
        <rFont val="Calibri"/>
      </rPr>
      <t>ШАРХҮҮ ХҮРЭЛСҮХ</t>
    </r>
  </si>
  <si>
    <r>
      <rPr>
        <sz val="8"/>
        <rFont val="Calibri"/>
      </rPr>
      <t>MN460005005070246117</t>
    </r>
  </si>
  <si>
    <r>
      <rPr>
        <sz val="8"/>
        <rFont val="Calibri"/>
      </rPr>
      <t>2025-07-07T09:55:37</t>
    </r>
  </si>
  <si>
    <r>
      <rPr>
        <sz val="8"/>
        <rFont val="Calibri"/>
      </rPr>
      <t>6 SAR TSALIN,ЛХААЖАВ ДАРИНЧУЛУУН,ХААН ТӨ</t>
    </r>
  </si>
  <si>
    <r>
      <rPr>
        <sz val="8"/>
        <rFont val="Calibri"/>
      </rPr>
      <t>ЛХААЖАВ ДАРИНЧУЛУУН</t>
    </r>
  </si>
  <si>
    <r>
      <rPr>
        <sz val="8"/>
        <rFont val="Calibri"/>
      </rPr>
      <t>MN150005005024050425</t>
    </r>
  </si>
  <si>
    <r>
      <rPr>
        <sz val="8"/>
        <rFont val="Calibri"/>
      </rPr>
      <t>2025-07-07T10:08:04</t>
    </r>
  </si>
  <si>
    <r>
      <rPr>
        <sz val="8"/>
        <rFont val="Calibri"/>
      </rPr>
      <t>ХУЯГАА 6 САР ЦАЛИН ПП,МАРУУШ ЛХАГВАДОРЖ,</t>
    </r>
  </si>
  <si>
    <r>
      <rPr>
        <sz val="8"/>
        <rFont val="Calibri"/>
      </rPr>
      <t>МАРУУШ ЛХАГВАДОРЖ</t>
    </r>
  </si>
  <si>
    <r>
      <rPr>
        <sz val="8"/>
        <rFont val="Calibri"/>
      </rPr>
      <t>MN290005005720619298</t>
    </r>
  </si>
  <si>
    <r>
      <rPr>
        <sz val="8"/>
        <rFont val="Calibri"/>
      </rPr>
      <t>2025-07-07T12:33:42</t>
    </r>
  </si>
  <si>
    <r>
      <rPr>
        <sz val="8"/>
        <rFont val="Calibri"/>
      </rPr>
      <t>ZEEL TULULT,НУРМАА ЭРДЭНЭСҮХ,ХААН ТӨВ БА</t>
    </r>
  </si>
  <si>
    <r>
      <rPr>
        <sz val="8"/>
        <rFont val="Calibri"/>
      </rPr>
      <t>НУРМАА ЭРДЭНЭСҮХ</t>
    </r>
  </si>
  <si>
    <r>
      <rPr>
        <sz val="8"/>
        <rFont val="Calibri"/>
      </rPr>
      <t>MN170005005026304378</t>
    </r>
  </si>
  <si>
    <r>
      <rPr>
        <sz val="8"/>
        <rFont val="Calibri"/>
      </rPr>
      <t>2025-07-07T13:37:30</t>
    </r>
  </si>
  <si>
    <r>
      <rPr>
        <sz val="8"/>
        <rFont val="Calibri"/>
      </rPr>
      <t>ZEEL TULULT,ДЭМБЭРЭЛСҮРЭН ЭРДЭНЭЦЭЦЭГ,ХА</t>
    </r>
  </si>
  <si>
    <r>
      <rPr>
        <sz val="8"/>
        <rFont val="Calibri"/>
      </rPr>
      <t>ДЭМБЭРЭЛСҮРЭН ЭРДЭНЭЦЭЦЭГ</t>
    </r>
  </si>
  <si>
    <r>
      <rPr>
        <sz val="8"/>
        <rFont val="Calibri"/>
      </rPr>
      <t>MN230005005735021190</t>
    </r>
  </si>
  <si>
    <r>
      <rPr>
        <sz val="8"/>
        <rFont val="Calibri"/>
      </rPr>
      <t>2025-07-07T15:12:40</t>
    </r>
  </si>
  <si>
    <r>
      <rPr>
        <sz val="8"/>
        <rFont val="Calibri"/>
      </rPr>
      <t>EM HUUDAS,НУРМАА ЭРДЭНЭСҮХ,ХААН ТӨВ БАНК</t>
    </r>
  </si>
  <si>
    <r>
      <rPr>
        <sz val="8"/>
        <rFont val="Calibri"/>
      </rPr>
      <t>2025-07-07T18:28:43</t>
    </r>
  </si>
  <si>
    <r>
      <rPr>
        <sz val="8"/>
        <rFont val="Calibri"/>
      </rPr>
      <t>АЛТАНГЭРЭЛ ЦАСЧИХЭР,СЭБҮ СТАДИ ТУР,ХААН ТӨВ БАНК</t>
    </r>
  </si>
  <si>
    <r>
      <rPr>
        <sz val="8"/>
        <rFont val="Calibri"/>
      </rPr>
      <t>СЭБҮ СТАДИ ТУР</t>
    </r>
  </si>
  <si>
    <r>
      <rPr>
        <sz val="8"/>
        <rFont val="Calibri"/>
      </rPr>
      <t>MN920005005431711327</t>
    </r>
  </si>
  <si>
    <r>
      <rPr>
        <sz val="8"/>
        <rFont val="Calibri"/>
      </rPr>
      <t>2025-07-08T12:55:58</t>
    </r>
  </si>
  <si>
    <r>
      <rPr>
        <sz val="8"/>
        <rFont val="Calibri"/>
      </rPr>
      <t>INTERNET,ЭНХБАЯР БЯМБАХОРОЛ,ТӨРИЙН БАНК</t>
    </r>
  </si>
  <si>
    <r>
      <rPr>
        <sz val="8"/>
        <rFont val="Calibri"/>
      </rPr>
      <t>ЭНХБАЯР БЯМБАХОРОЛ</t>
    </r>
  </si>
  <si>
    <r>
      <rPr>
        <sz val="8"/>
        <rFont val="Calibri"/>
      </rPr>
      <t>MN050034360000378300</t>
    </r>
  </si>
  <si>
    <r>
      <rPr>
        <sz val="8"/>
        <rFont val="Calibri"/>
      </rPr>
      <t>2025-07-08T15:42:31</t>
    </r>
  </si>
  <si>
    <r>
      <rPr>
        <sz val="8"/>
        <rFont val="Calibri"/>
      </rPr>
      <t>5899508 4 ХҮН,ХХҮЕГАЗАР,Төрийн сан</t>
    </r>
  </si>
  <si>
    <r>
      <rPr>
        <sz val="8"/>
        <rFont val="Calibri"/>
      </rPr>
      <t>ХХҮЕГАЗАР</t>
    </r>
  </si>
  <si>
    <r>
      <rPr>
        <sz val="8"/>
        <rFont val="Calibri"/>
      </rPr>
      <t>MN830090100900017002</t>
    </r>
  </si>
  <si>
    <r>
      <rPr>
        <sz val="8"/>
        <rFont val="Calibri"/>
      </rPr>
      <t>2025-07-09T09:09:12</t>
    </r>
  </si>
  <si>
    <r>
      <rPr>
        <sz val="8"/>
        <rFont val="Calibri"/>
      </rPr>
      <t>4161УБҮ ТҮРЭЭС,МАРУУШ ЛХАГВАДОРЖ,ХААН ТӨ</t>
    </r>
  </si>
  <si>
    <r>
      <rPr>
        <sz val="8"/>
        <rFont val="Calibri"/>
      </rPr>
      <t>2025-07-09T13:36:21</t>
    </r>
  </si>
  <si>
    <r>
      <rPr>
        <sz val="8"/>
        <rFont val="Calibri"/>
      </rPr>
      <t>GADAADIIN IRGEN HARIYA,ЭНХБАЯР БЯМБАХОРО</t>
    </r>
  </si>
  <si>
    <r>
      <rPr>
        <sz val="8"/>
        <rFont val="Calibri"/>
      </rPr>
      <t>2025-07-09T13:39:41</t>
    </r>
  </si>
  <si>
    <r>
      <rPr>
        <sz val="8"/>
        <rFont val="Calibri"/>
      </rPr>
      <t>5899508 TULSH,СИНЧИ-ОЙЛ,ХААН ТӨВ БАНК</t>
    </r>
  </si>
  <si>
    <r>
      <rPr>
        <sz val="8"/>
        <rFont val="Calibri"/>
      </rPr>
      <t>СИНЧИ-ОЙЛ</t>
    </r>
  </si>
  <si>
    <r>
      <rPr>
        <sz val="8"/>
        <rFont val="Calibri"/>
      </rPr>
      <t>MN960005005038097865</t>
    </r>
  </si>
  <si>
    <r>
      <rPr>
        <sz val="8"/>
        <rFont val="Calibri"/>
      </rPr>
      <t>2025-07-09T13:43:40</t>
    </r>
  </si>
  <si>
    <r>
      <rPr>
        <sz val="8"/>
        <rFont val="Calibri"/>
      </rPr>
      <t>SINCHI,ЭНХБАЯР БЯМБАХОРОЛ,ТӨРИЙН БАНК</t>
    </r>
  </si>
  <si>
    <r>
      <rPr>
        <sz val="8"/>
        <rFont val="Calibri"/>
      </rPr>
      <t>2025-07-09T14:06:30</t>
    </r>
  </si>
  <si>
    <r>
      <rPr>
        <sz val="8"/>
        <rFont val="Calibri"/>
      </rPr>
      <t>OGLOONII GUILGEE BUTSAAV,БЯМБАХОРОЛ ЭНХБ</t>
    </r>
  </si>
  <si>
    <r>
      <rPr>
        <sz val="8"/>
        <rFont val="Calibri"/>
      </rPr>
      <t>БЯМБАХОРОЛ ЭНХБАЯР</t>
    </r>
  </si>
  <si>
    <r>
      <rPr>
        <sz val="8"/>
        <rFont val="Calibri"/>
      </rPr>
      <t>MN810005005700603188</t>
    </r>
  </si>
  <si>
    <r>
      <rPr>
        <sz val="8"/>
        <rFont val="Calibri"/>
      </rPr>
      <t>2025-07-10T18:12:44</t>
    </r>
  </si>
  <si>
    <r>
      <rPr>
        <sz val="8"/>
        <rFont val="Calibri"/>
      </rPr>
      <t>MAHNII UNE,БЯМБАХОРОЛ ХОСБАЯР,ХААН ТӨВ Б</t>
    </r>
  </si>
  <si>
    <r>
      <rPr>
        <sz val="8"/>
        <rFont val="Calibri"/>
      </rPr>
      <t>БЯМБАХОРОЛ ХОСБАЯР</t>
    </r>
  </si>
  <si>
    <r>
      <rPr>
        <sz val="8"/>
        <rFont val="Calibri"/>
      </rPr>
      <t>MN420005005030348343</t>
    </r>
  </si>
  <si>
    <r>
      <rPr>
        <sz val="8"/>
        <rFont val="Calibri"/>
      </rPr>
      <t>2025-07-14T12:30:58</t>
    </r>
  </si>
  <si>
    <r>
      <rPr>
        <sz val="8"/>
        <rFont val="Calibri"/>
      </rPr>
      <t>LI,БЯМБАХОРОЛ ХОСБАЯР,ХААН ТӨВ БАНК</t>
    </r>
  </si>
  <si>
    <r>
      <rPr>
        <sz val="8"/>
        <rFont val="Calibri"/>
      </rPr>
      <t>2025-07-14T20:33:26</t>
    </r>
  </si>
  <si>
    <r>
      <rPr>
        <sz val="8"/>
        <rFont val="Calibri"/>
      </rPr>
      <t>KRAM,БЯМБАХОРОЛ ЭНХБАЯР,ХААН ТӨВ БАНК</t>
    </r>
  </si>
  <si>
    <r>
      <rPr>
        <sz val="8"/>
        <rFont val="Calibri"/>
      </rPr>
      <t>2025-07-20T21:24:04</t>
    </r>
  </si>
  <si>
    <r>
      <rPr>
        <sz val="8"/>
        <rFont val="Calibri"/>
      </rPr>
      <t>7 R SAR EHNII HAGAS TSALIN,АРИУНБОЛД БАТ</t>
    </r>
  </si>
  <si>
    <r>
      <rPr>
        <sz val="8"/>
        <rFont val="Calibri"/>
      </rPr>
      <t>2025-07-20T21:25:51</t>
    </r>
  </si>
  <si>
    <r>
      <rPr>
        <sz val="8"/>
        <rFont val="Calibri"/>
      </rPr>
      <t>7 R SARIIN EHNII TSALIN,ЭРДЭНЭЧИМЭГ СОДГ</t>
    </r>
  </si>
  <si>
    <r>
      <rPr>
        <sz val="8"/>
        <rFont val="Calibri"/>
      </rPr>
      <t>2025-07-21T13:24:34</t>
    </r>
  </si>
  <si>
    <r>
      <rPr>
        <sz val="8"/>
        <rFont val="Calibri"/>
      </rPr>
      <t>UNDAA,ДТУБ СҮМБЭРЭЛ ХХК,ХУД ХӨГЖ ТӨВ БАН</t>
    </r>
  </si>
  <si>
    <r>
      <rPr>
        <sz val="8"/>
        <rFont val="Calibri"/>
      </rPr>
      <t>ДТУБ СҮМБЭРЭЛ ХХК</t>
    </r>
  </si>
  <si>
    <r>
      <rPr>
        <sz val="8"/>
        <rFont val="Calibri"/>
      </rPr>
      <t>MN220004000451064598</t>
    </r>
  </si>
  <si>
    <r>
      <rPr>
        <sz val="8"/>
        <rFont val="Calibri"/>
      </rPr>
      <t>2025-07-22T18:20:19</t>
    </r>
  </si>
  <si>
    <r>
      <rPr>
        <sz val="8"/>
        <rFont val="Calibri"/>
      </rPr>
      <t>1101159 PP TOGNII TOLBOR</t>
    </r>
  </si>
  <si>
    <r>
      <rPr>
        <sz val="8"/>
        <rFont val="Calibri"/>
      </rPr>
      <t>УБЦТС</t>
    </r>
  </si>
  <si>
    <r>
      <rPr>
        <sz val="8"/>
        <rFont val="Calibri"/>
      </rPr>
      <t>1102033206</t>
    </r>
  </si>
  <si>
    <r>
      <rPr>
        <sz val="8"/>
        <rFont val="Calibri"/>
      </rPr>
      <t>2025-07-23T15:29:54</t>
    </r>
  </si>
  <si>
    <r>
      <rPr>
        <sz val="8"/>
        <rFont val="Calibri"/>
      </rPr>
      <t>PP УУЛЫН АЖЛЫН ТӨЛӨВЛӨГӨӨ,ДОЛГОР БОЛДХУЯ</t>
    </r>
  </si>
  <si>
    <r>
      <rPr>
        <sz val="8"/>
        <rFont val="Calibri"/>
      </rPr>
      <t>ДОЛГОР БОЛДХУЯГ</t>
    </r>
  </si>
  <si>
    <r>
      <rPr>
        <sz val="8"/>
        <rFont val="Calibri"/>
      </rPr>
      <t>MN660005005302726239</t>
    </r>
  </si>
  <si>
    <r>
      <rPr>
        <sz val="8"/>
        <rFont val="Calibri"/>
      </rPr>
      <t>2025-07-24T10:06:58</t>
    </r>
  </si>
  <si>
    <r>
      <rPr>
        <sz val="8"/>
        <rFont val="Calibri"/>
      </rPr>
      <t>TOS MASLO UNE,ХАЯНХЯРВАА ОЮУНТУЯА,ХААН Т</t>
    </r>
  </si>
  <si>
    <r>
      <rPr>
        <sz val="8"/>
        <rFont val="Calibri"/>
      </rPr>
      <t>ХАЯНХЯРВАА ОЮУНТУЯА</t>
    </r>
  </si>
  <si>
    <r>
      <rPr>
        <sz val="8"/>
        <rFont val="Calibri"/>
      </rPr>
      <t>MN420005005087109057</t>
    </r>
  </si>
  <si>
    <r>
      <rPr>
        <sz val="8"/>
        <rFont val="Calibri"/>
      </rPr>
      <t>2025-07-24T10:20:20</t>
    </r>
  </si>
  <si>
    <r>
      <rPr>
        <sz val="8"/>
        <rFont val="Calibri"/>
      </rPr>
      <t>NOGOON TEJEEL,БЯМБАХОРОЛ ХОСБАЯР,ХААН ТӨ</t>
    </r>
  </si>
  <si>
    <r>
      <rPr>
        <sz val="8"/>
        <rFont val="Calibri"/>
      </rPr>
      <t>2025-07-24T10:41:52</t>
    </r>
  </si>
  <si>
    <r>
      <rPr>
        <sz val="8"/>
        <rFont val="Calibri"/>
      </rPr>
      <t>SELBEG,НАЙМАНТАЛТ УУЛ,ХААН ТӨВ БАНК</t>
    </r>
  </si>
  <si>
    <r>
      <rPr>
        <sz val="8"/>
        <rFont val="Calibri"/>
      </rPr>
      <t>НАЙМАНТАЛТ УУЛ</t>
    </r>
  </si>
  <si>
    <r>
      <rPr>
        <sz val="8"/>
        <rFont val="Calibri"/>
      </rPr>
      <t>MN040005005087156495</t>
    </r>
  </si>
  <si>
    <r>
      <rPr>
        <sz val="8"/>
        <rFont val="Calibri"/>
      </rPr>
      <t>2025-07-24T10:52:50</t>
    </r>
  </si>
  <si>
    <r>
      <rPr>
        <sz val="8"/>
        <rFont val="Calibri"/>
      </rPr>
      <t>SELBEG,АЛТАН ИХ БҮС,ХААН ТӨВ БАНК</t>
    </r>
  </si>
  <si>
    <r>
      <rPr>
        <sz val="8"/>
        <rFont val="Calibri"/>
      </rPr>
      <t>АЛТАН ИХ БҮС</t>
    </r>
  </si>
  <si>
    <r>
      <rPr>
        <sz val="8"/>
        <rFont val="Calibri"/>
      </rPr>
      <t>MN960005005087219538</t>
    </r>
  </si>
  <si>
    <r>
      <rPr>
        <sz val="8"/>
        <rFont val="Calibri"/>
      </rPr>
      <t>2025-07-24T11:21:38</t>
    </r>
  </si>
  <si>
    <r>
      <rPr>
        <sz val="8"/>
        <rFont val="Calibri"/>
      </rPr>
      <t>MAH,ЛХАМСҮРЭН УЯНГА,ХААН ТӨВ БАНК</t>
    </r>
  </si>
  <si>
    <r>
      <rPr>
        <sz val="8"/>
        <rFont val="Calibri"/>
      </rPr>
      <t>ЛХАМСҮРЭН УЯНГА</t>
    </r>
  </si>
  <si>
    <r>
      <rPr>
        <sz val="8"/>
        <rFont val="Calibri"/>
      </rPr>
      <t>MN720005005033817687</t>
    </r>
  </si>
  <si>
    <r>
      <rPr>
        <sz val="8"/>
        <rFont val="Calibri"/>
      </rPr>
      <t>2025-07-24T11:27:37</t>
    </r>
  </si>
  <si>
    <r>
      <rPr>
        <sz val="8"/>
        <rFont val="Calibri"/>
      </rPr>
      <t>AA MAT,ТОГТООЛ ЦЭВЭЛЛХАСҮРЭН,ХААН ТӨВ БА</t>
    </r>
  </si>
  <si>
    <r>
      <rPr>
        <sz val="8"/>
        <rFont val="Calibri"/>
      </rPr>
      <t>ТОГТООЛ ЦЭВЭЛЛХАСҮРЭН</t>
    </r>
  </si>
  <si>
    <r>
      <rPr>
        <sz val="8"/>
        <rFont val="Calibri"/>
      </rPr>
      <t>MN350005005029185051</t>
    </r>
  </si>
  <si>
    <r>
      <rPr>
        <sz val="8"/>
        <rFont val="Calibri"/>
      </rPr>
      <t>2025-07-24T11:38:22</t>
    </r>
  </si>
  <si>
    <r>
      <rPr>
        <sz val="8"/>
        <rFont val="Calibri"/>
      </rPr>
      <t>HUNSNII MAT,МААМ УРАНЧИМЭГ,ХААН ТӨВ БАНК</t>
    </r>
  </si>
  <si>
    <r>
      <rPr>
        <sz val="8"/>
        <rFont val="Calibri"/>
      </rPr>
      <t>МААМ УРАНЧИМЭГ</t>
    </r>
  </si>
  <si>
    <r>
      <rPr>
        <sz val="8"/>
        <rFont val="Calibri"/>
      </rPr>
      <t>MN470005005034389273</t>
    </r>
  </si>
  <si>
    <r>
      <rPr>
        <sz val="8"/>
        <rFont val="Calibri"/>
      </rPr>
      <t>2025-07-24T12:11:35</t>
    </r>
  </si>
  <si>
    <r>
      <rPr>
        <sz val="8"/>
        <rFont val="Calibri"/>
      </rPr>
      <t>NOGOON TEHEEL,БЯМБАХОРОЛ ХОСБАЯР,ХААН ТӨ</t>
    </r>
  </si>
  <si>
    <r>
      <rPr>
        <sz val="8"/>
        <rFont val="Calibri"/>
      </rPr>
      <t>2025-07-24T12:12:58</t>
    </r>
  </si>
  <si>
    <r>
      <rPr>
        <sz val="8"/>
        <rFont val="Calibri"/>
      </rPr>
      <t>HUNS UR TULUV,НУРМАА ЭРДЭНЭСҮХ,ХААН ТӨВ</t>
    </r>
  </si>
  <si>
    <r>
      <rPr>
        <sz val="8"/>
        <rFont val="Calibri"/>
      </rPr>
      <t>2025-07-24T13:19:54</t>
    </r>
  </si>
  <si>
    <r>
      <rPr>
        <sz val="8"/>
        <rFont val="Calibri"/>
      </rPr>
      <t>ZASVART,БАЛХУР,ХААН ТӨВ БАНК</t>
    </r>
  </si>
  <si>
    <r>
      <rPr>
        <sz val="8"/>
        <rFont val="Calibri"/>
      </rPr>
      <t>БАЛХУР</t>
    </r>
  </si>
  <si>
    <r>
      <rPr>
        <sz val="8"/>
        <rFont val="Calibri"/>
      </rPr>
      <t>MN530005005087413342</t>
    </r>
  </si>
  <si>
    <r>
      <rPr>
        <sz val="8"/>
        <rFont val="Calibri"/>
      </rPr>
      <t>2025-07-24T13:59:12</t>
    </r>
  </si>
  <si>
    <r>
      <rPr>
        <sz val="8"/>
        <rFont val="Calibri"/>
      </rPr>
      <t>SELBEG,ЦОБУ ДЭВШИЛ,ХААН ТӨВ БАНК</t>
    </r>
  </si>
  <si>
    <r>
      <rPr>
        <sz val="8"/>
        <rFont val="Calibri"/>
      </rPr>
      <t>ЦОБУ ДЭВШИЛ</t>
    </r>
  </si>
  <si>
    <r>
      <rPr>
        <sz val="8"/>
        <rFont val="Calibri"/>
      </rPr>
      <t>MN410005005087192398</t>
    </r>
  </si>
  <si>
    <r>
      <rPr>
        <sz val="8"/>
        <rFont val="Calibri"/>
      </rPr>
      <t>2025-07-25T17:53:50</t>
    </r>
  </si>
  <si>
    <r>
      <rPr>
        <sz val="8"/>
        <rFont val="Calibri"/>
      </rPr>
      <t>SHATAHUUN,ЭХТУУЛ БАТ-ИРЭЭДҮЙ,ХААН ТӨВ БА</t>
    </r>
  </si>
  <si>
    <r>
      <rPr>
        <sz val="8"/>
        <rFont val="Calibri"/>
      </rPr>
      <t>ЭХТУУЛ БАТ-ИРЭЭДҮЙ</t>
    </r>
  </si>
  <si>
    <r>
      <rPr>
        <sz val="8"/>
        <rFont val="Calibri"/>
      </rPr>
      <t>MN340005005059719408</t>
    </r>
  </si>
  <si>
    <r>
      <rPr>
        <sz val="8"/>
        <rFont val="Calibri"/>
      </rPr>
      <t>2025-07-25T18:53:55</t>
    </r>
  </si>
  <si>
    <r>
      <rPr>
        <sz val="8"/>
        <rFont val="Calibri"/>
      </rPr>
      <t>GEREE 50896537</t>
    </r>
  </si>
  <si>
    <r>
      <rPr>
        <sz val="8"/>
        <rFont val="Calibri"/>
      </rPr>
      <t>МОБИКОМ КОРПОРАЦИ ХХК</t>
    </r>
  </si>
  <si>
    <r>
      <rPr>
        <sz val="8"/>
        <rFont val="Calibri"/>
      </rPr>
      <t>1102018877</t>
    </r>
  </si>
  <si>
    <r>
      <rPr>
        <sz val="8"/>
        <rFont val="Calibri"/>
      </rPr>
      <t>2025-07-25T18:57:44</t>
    </r>
  </si>
  <si>
    <r>
      <rPr>
        <sz val="8"/>
        <rFont val="Calibri"/>
      </rPr>
      <t>HALUUN US 4,НУРМАА ЭРДЭНЭСҮХ,ХААН ТӨВ БА</t>
    </r>
  </si>
  <si>
    <r>
      <rPr>
        <sz val="8"/>
        <rFont val="Calibri"/>
      </rPr>
      <t>2025-07-26T13:21:42</t>
    </r>
  </si>
  <si>
    <r>
      <rPr>
        <sz val="8"/>
        <rFont val="Calibri"/>
      </rPr>
      <t>AJLIIN BEELII,ГОМБО ДЭЛГЭРМАА,ХААН ТӨВ Б</t>
    </r>
  </si>
  <si>
    <r>
      <rPr>
        <sz val="8"/>
        <rFont val="Calibri"/>
      </rPr>
      <t>ГОМБО ДЭЛГЭРМАА</t>
    </r>
  </si>
  <si>
    <r>
      <rPr>
        <sz val="8"/>
        <rFont val="Calibri"/>
      </rPr>
      <t>MN080005005074071026</t>
    </r>
  </si>
  <si>
    <r>
      <rPr>
        <sz val="8"/>
        <rFont val="Calibri"/>
      </rPr>
      <t>2025-07-26T15:19:55</t>
    </r>
  </si>
  <si>
    <r>
      <rPr>
        <sz val="8"/>
        <rFont val="Calibri"/>
      </rPr>
      <t>SHATAHUUN,АЛТАНГЭРЭЛ БУДЖАВ,ХААН ТӨВ БАН</t>
    </r>
  </si>
  <si>
    <r>
      <rPr>
        <sz val="8"/>
        <rFont val="Calibri"/>
      </rPr>
      <t>АЛТАНГЭРЭЛ БУДЖАВ</t>
    </r>
  </si>
  <si>
    <r>
      <rPr>
        <sz val="8"/>
        <rFont val="Calibri"/>
      </rPr>
      <t>MN670005005219481500</t>
    </r>
  </si>
  <si>
    <r>
      <rPr>
        <sz val="8"/>
        <rFont val="Calibri"/>
      </rPr>
      <t>2025-07-26T15:58:19</t>
    </r>
  </si>
  <si>
    <r>
      <rPr>
        <sz val="8"/>
        <rFont val="Calibri"/>
      </rPr>
      <t>EK TOKARI,ЛХАГВА ДАЛАЙЖАРГАЛ,ХААН ТӨВ БА</t>
    </r>
  </si>
  <si>
    <r>
      <rPr>
        <sz val="8"/>
        <rFont val="Calibri"/>
      </rPr>
      <t>ЛХАГВА ДАЛАЙЖАРГАЛ</t>
    </r>
  </si>
  <si>
    <r>
      <rPr>
        <sz val="8"/>
        <rFont val="Calibri"/>
      </rPr>
      <t>MN570005005006213406</t>
    </r>
  </si>
  <si>
    <r>
      <rPr>
        <sz val="8"/>
        <rFont val="Calibri"/>
      </rPr>
      <t>2025-07-27T13:09:54</t>
    </r>
  </si>
  <si>
    <r>
      <rPr>
        <sz val="8"/>
        <rFont val="Calibri"/>
      </rPr>
      <t>ARCHIH MATERIAL,БАТБОЛД ТУЯАЦЭЦЭГ,ХААН Т</t>
    </r>
  </si>
  <si>
    <r>
      <rPr>
        <sz val="8"/>
        <rFont val="Calibri"/>
      </rPr>
      <t>БАТБОЛД ТУЯАЦЭЦЭГ</t>
    </r>
  </si>
  <si>
    <r>
      <rPr>
        <sz val="8"/>
        <rFont val="Calibri"/>
      </rPr>
      <t>MN210005005029430810</t>
    </r>
  </si>
  <si>
    <r>
      <rPr>
        <sz val="8"/>
        <rFont val="Calibri"/>
      </rPr>
      <t>2025-07-28T12:56:46</t>
    </r>
  </si>
  <si>
    <r>
      <rPr>
        <sz val="8"/>
        <rFont val="Calibri"/>
      </rPr>
      <t>СЭЛБЭГ ПП,XXX CAINA,ХААН ТӨВ БАНК</t>
    </r>
  </si>
  <si>
    <r>
      <rPr>
        <sz val="8"/>
        <rFont val="Calibri"/>
      </rPr>
      <t>XXX CAINA</t>
    </r>
  </si>
  <si>
    <r>
      <rPr>
        <sz val="8"/>
        <rFont val="Calibri"/>
      </rPr>
      <t>MN620005005087584385</t>
    </r>
  </si>
  <si>
    <r>
      <rPr>
        <sz val="8"/>
        <rFont val="Calibri"/>
      </rPr>
      <t>2025-07-28T12:58:25</t>
    </r>
  </si>
  <si>
    <r>
      <rPr>
        <sz val="8"/>
        <rFont val="Calibri"/>
      </rPr>
      <t>2025-07-28T13:32:33</t>
    </r>
  </si>
  <si>
    <r>
      <rPr>
        <sz val="8"/>
        <rFont val="Calibri"/>
      </rPr>
      <t>Б.ЭНХБАЯР, 88102299</t>
    </r>
  </si>
  <si>
    <r>
      <rPr>
        <sz val="8"/>
        <rFont val="Calibri"/>
      </rPr>
      <t>ОЧИР УНДРАА ОМЗ ББСБ</t>
    </r>
  </si>
  <si>
    <r>
      <rPr>
        <sz val="8"/>
        <rFont val="Calibri"/>
      </rPr>
      <t>1905008266</t>
    </r>
  </si>
  <si>
    <r>
      <rPr>
        <sz val="8"/>
        <rFont val="Calibri"/>
      </rPr>
      <t>2025-07-29T12:04:37</t>
    </r>
  </si>
  <si>
    <r>
      <rPr>
        <sz val="8"/>
        <rFont val="Calibri"/>
      </rPr>
      <t>PP SELBEG,ЦГН,ХААН ТӨВ БАНК</t>
    </r>
  </si>
  <si>
    <r>
      <rPr>
        <sz val="8"/>
        <rFont val="Calibri"/>
      </rPr>
      <t>ЦГН</t>
    </r>
  </si>
  <si>
    <r>
      <rPr>
        <sz val="8"/>
        <rFont val="Calibri"/>
      </rPr>
      <t>MN390005005009356724</t>
    </r>
  </si>
  <si>
    <r>
      <rPr>
        <sz val="8"/>
        <rFont val="Calibri"/>
      </rPr>
      <t>2025-07-29T13:07:35</t>
    </r>
  </si>
  <si>
    <r>
      <rPr>
        <sz val="8"/>
        <rFont val="Calibri"/>
      </rPr>
      <t>GAZ PP,СИНЧИ-ОЙЛ,ХААН ТӨВ БАНК</t>
    </r>
  </si>
  <si>
    <r>
      <rPr>
        <sz val="8"/>
        <rFont val="Calibri"/>
      </rPr>
      <t>2025-07-29T14:04:24</t>
    </r>
  </si>
  <si>
    <r>
      <rPr>
        <sz val="8"/>
        <rFont val="Calibri"/>
      </rPr>
      <t>ZASBARIIN HULS PP,ЦЭЭЛХАСҮРЭН МӨНХБАЯР,Х</t>
    </r>
  </si>
  <si>
    <r>
      <rPr>
        <sz val="8"/>
        <rFont val="Calibri"/>
      </rPr>
      <t>ЦЭЭЛХАСҮРЭН МӨНХБАЯР</t>
    </r>
  </si>
  <si>
    <r>
      <rPr>
        <sz val="8"/>
        <rFont val="Calibri"/>
      </rPr>
      <t>MN980005005019255385</t>
    </r>
  </si>
  <si>
    <r>
      <rPr>
        <sz val="8"/>
        <rFont val="Calibri"/>
      </rPr>
      <t>2025-07-29T16:19:23</t>
    </r>
  </si>
  <si>
    <r>
      <rPr>
        <sz val="8"/>
        <rFont val="Calibri"/>
      </rPr>
      <t>OBUDNII HOSHUU,ХАНГАЙН ТҮШИГ РӨҮД,ХААН Т</t>
    </r>
  </si>
  <si>
    <r>
      <rPr>
        <sz val="8"/>
        <rFont val="Calibri"/>
      </rPr>
      <t>ХАНГАЙН ТҮШИГ РӨҮД</t>
    </r>
  </si>
  <si>
    <r>
      <rPr>
        <sz val="8"/>
        <rFont val="Calibri"/>
      </rPr>
      <t>MN040005005057718644</t>
    </r>
  </si>
  <si>
    <r>
      <rPr>
        <sz val="8"/>
        <rFont val="Calibri"/>
      </rPr>
      <t>2025-07-30T11:49:40</t>
    </r>
  </si>
  <si>
    <r>
      <rPr>
        <sz val="8"/>
        <rFont val="Calibri"/>
      </rPr>
      <t>EKSKI ZASVAR,ӨЛЗИЙ ЗОРИГТӨГС,ХУД ХӨГЖ ТӨ</t>
    </r>
  </si>
  <si>
    <r>
      <rPr>
        <sz val="8"/>
        <rFont val="Calibri"/>
      </rPr>
      <t>ӨЛЗИЙ ЗОРИГТӨГС</t>
    </r>
  </si>
  <si>
    <r>
      <rPr>
        <sz val="8"/>
        <rFont val="Calibri"/>
      </rPr>
      <t>MN270004000437027832</t>
    </r>
  </si>
  <si>
    <r>
      <rPr>
        <sz val="8"/>
        <rFont val="Calibri"/>
      </rPr>
      <t>2025-07-30T11:57:12</t>
    </r>
  </si>
  <si>
    <r>
      <rPr>
        <sz val="8"/>
        <rFont val="Calibri"/>
      </rPr>
      <t>МДД ҮНИЙН ЗӨРҮҮ,СИНЧИ-ОЙЛ,ХААН ТӨВ БАНК</t>
    </r>
  </si>
  <si>
    <r>
      <rPr>
        <sz val="8"/>
        <rFont val="Calibri"/>
      </rPr>
      <t>2025-07-31T10:32:31</t>
    </r>
  </si>
  <si>
    <r>
      <rPr>
        <sz val="8"/>
        <rFont val="Calibri"/>
      </rPr>
      <t>HOG,БЯМБАХОРОЛ ХОСБАЯР,ХААН ТӨВ БАНК</t>
    </r>
  </si>
  <si>
    <r>
      <rPr>
        <sz val="8"/>
        <rFont val="Calibri"/>
      </rPr>
      <t>2025-07-31T10:34:48</t>
    </r>
  </si>
  <si>
    <r>
      <rPr>
        <sz val="8"/>
        <rFont val="Calibri"/>
      </rPr>
      <t>LAM,БЯМБАХОРОЛ ХОСБАЯР,ХААН ТӨВ БАНК</t>
    </r>
  </si>
  <si>
    <r>
      <rPr>
        <sz val="8"/>
        <rFont val="Calibri"/>
      </rPr>
      <t>2025-07-31T11:19:06</t>
    </r>
  </si>
  <si>
    <r>
      <rPr>
        <sz val="8"/>
        <rFont val="Calibri"/>
      </rPr>
      <t>MAH,МЯГМАРСҮРЭН АМАРЖАРГАЛ,ХААН ТӨВ БАНК</t>
    </r>
  </si>
  <si>
    <r>
      <rPr>
        <sz val="8"/>
        <rFont val="Calibri"/>
      </rPr>
      <t>МЯГМАРСҮРЭН АМАРЖАРГАЛ</t>
    </r>
  </si>
  <si>
    <r>
      <rPr>
        <sz val="8"/>
        <rFont val="Calibri"/>
      </rPr>
      <t>MN290005005248032194</t>
    </r>
  </si>
  <si>
    <r>
      <rPr>
        <sz val="8"/>
        <rFont val="Calibri"/>
      </rPr>
      <t>2025-07-31T17:45:34</t>
    </r>
  </si>
  <si>
    <r>
      <rPr>
        <sz val="8"/>
        <rFont val="Calibri"/>
      </rPr>
      <t>SELBEG,БАЛХУР,ХААН ТӨВ БАНК</t>
    </r>
  </si>
  <si>
    <r>
      <rPr>
        <sz val="8"/>
        <rFont val="Calibri"/>
      </rPr>
      <t>2025-07-31T18:39:51</t>
    </r>
  </si>
  <si>
    <r>
      <rPr>
        <sz val="8"/>
        <rFont val="Calibri"/>
      </rPr>
      <t>TOS BARIGCH,БАЛХУР,ХААН ТӨВ БАНК</t>
    </r>
  </si>
  <si>
    <r>
      <rPr>
        <b/>
        <sz val="10"/>
        <rFont val="Calibri"/>
      </rPr>
      <t>Гүйлгээний огноо</t>
    </r>
  </si>
  <si>
    <r>
      <rPr>
        <b/>
        <sz val="10"/>
        <rFont val="Calibri"/>
      </rPr>
      <t>Гүйлгээний утга</t>
    </r>
  </si>
  <si>
    <r>
      <rPr>
        <b/>
        <sz val="10"/>
        <rFont val="Calibri"/>
      </rPr>
      <t>Харьцсан дансны нэр</t>
    </r>
  </si>
  <si>
    <r>
      <rPr>
        <b/>
        <sz val="10"/>
        <rFont val="Calibri"/>
      </rPr>
      <t>Харьцсан данс</t>
    </r>
  </si>
  <si>
    <r>
      <rPr>
        <b/>
        <sz val="10"/>
        <rFont val="Calibri"/>
      </rPr>
      <t>Ханш</t>
    </r>
  </si>
  <si>
    <r>
      <rPr>
        <b/>
        <sz val="10"/>
        <rFont val="Calibri"/>
      </rPr>
      <t>Орлого</t>
    </r>
  </si>
  <si>
    <r>
      <rPr>
        <b/>
        <sz val="10"/>
        <rFont val="Calibri"/>
      </rPr>
      <t>Зарлага</t>
    </r>
  </si>
  <si>
    <t>Барилга</t>
  </si>
  <si>
    <t>харилцах</t>
  </si>
  <si>
    <t xml:space="preserve">Цалин </t>
  </si>
  <si>
    <t>Банкны шимтгэл</t>
  </si>
  <si>
    <t>тээврийн хөлс</t>
  </si>
  <si>
    <t>тамхи</t>
  </si>
  <si>
    <t>камер</t>
  </si>
  <si>
    <t>холбоо</t>
  </si>
  <si>
    <t>хог</t>
  </si>
  <si>
    <t>уулын ажлын төлөвлөгөө</t>
  </si>
  <si>
    <t>УБЦТС</t>
  </si>
  <si>
    <t>нөат</t>
  </si>
  <si>
    <t>GEREE 50896537</t>
  </si>
  <si>
    <t>LI,БЯМБАХОРОЛ ХОСБАЯР,ХААН ТӨВ БАНК</t>
  </si>
  <si>
    <r>
      <rPr>
        <sz val="8"/>
        <rFont val="Times New Roman"/>
        <family val="1"/>
      </rPr>
      <t>2025-07-26T13:21:42</t>
    </r>
  </si>
  <si>
    <r>
      <rPr>
        <sz val="8"/>
        <rFont val="Times New Roman"/>
        <family val="1"/>
      </rPr>
      <t>AJLIIN BEELII,ГОМБО ДЭЛГЭРМАА,ХААН ТӨВ Б</t>
    </r>
  </si>
  <si>
    <r>
      <rPr>
        <sz val="8"/>
        <rFont val="Times New Roman"/>
        <family val="1"/>
      </rPr>
      <t>ГОМБО ДЭЛГЭРМАА</t>
    </r>
  </si>
  <si>
    <r>
      <rPr>
        <sz val="8"/>
        <rFont val="Times New Roman"/>
        <family val="1"/>
      </rPr>
      <t>MN080005005074071026</t>
    </r>
  </si>
  <si>
    <r>
      <rPr>
        <sz val="8"/>
        <rFont val="Times New Roman"/>
        <family val="1"/>
      </rPr>
      <t>2025-07-25T18:57:44</t>
    </r>
  </si>
  <si>
    <r>
      <rPr>
        <sz val="8"/>
        <rFont val="Times New Roman"/>
        <family val="1"/>
      </rPr>
      <t>HALUUN US 4,НУРМАА ЭРДЭНЭСҮХ,ХААН ТӨВ БА</t>
    </r>
  </si>
  <si>
    <r>
      <rPr>
        <sz val="8"/>
        <rFont val="Times New Roman"/>
        <family val="1"/>
      </rPr>
      <t>НУРМАА ЭРДЭНЭСҮХ</t>
    </r>
  </si>
  <si>
    <r>
      <rPr>
        <sz val="8"/>
        <rFont val="Times New Roman"/>
        <family val="1"/>
      </rPr>
      <t>MN170005005026304378</t>
    </r>
  </si>
  <si>
    <r>
      <rPr>
        <sz val="8"/>
        <rFont val="Times New Roman"/>
        <family val="1"/>
      </rPr>
      <t>2025-07-27T13:09:54</t>
    </r>
  </si>
  <si>
    <r>
      <rPr>
        <sz val="8"/>
        <rFont val="Times New Roman"/>
        <family val="1"/>
      </rPr>
      <t>ARCHIH MATERIAL,БАТБОЛД ТУЯАЦЭЦЭГ,ХААН Т</t>
    </r>
  </si>
  <si>
    <r>
      <rPr>
        <sz val="8"/>
        <rFont val="Times New Roman"/>
        <family val="1"/>
      </rPr>
      <t>БАТБОЛД ТУЯАЦЭЦЭГ</t>
    </r>
  </si>
  <si>
    <r>
      <rPr>
        <sz val="8"/>
        <rFont val="Times New Roman"/>
        <family val="1"/>
      </rPr>
      <t>MN210005005029430810</t>
    </r>
  </si>
  <si>
    <r>
      <rPr>
        <sz val="8"/>
        <rFont val="Times New Roman"/>
        <family val="1"/>
      </rPr>
      <t>2025-07-08T12:55:58</t>
    </r>
  </si>
  <si>
    <r>
      <rPr>
        <sz val="8"/>
        <rFont val="Times New Roman"/>
        <family val="1"/>
      </rPr>
      <t>INTERNET,ЭНХБАЯР БЯМБАХОРОЛ,ТӨРИЙН БАНК</t>
    </r>
  </si>
  <si>
    <r>
      <rPr>
        <sz val="8"/>
        <rFont val="Times New Roman"/>
        <family val="1"/>
      </rPr>
      <t>ЭНХБАЯР БЯМБАХОРОЛ</t>
    </r>
  </si>
  <si>
    <r>
      <rPr>
        <sz val="8"/>
        <rFont val="Times New Roman"/>
        <family val="1"/>
      </rPr>
      <t>MN050034360000378300</t>
    </r>
  </si>
  <si>
    <r>
      <rPr>
        <sz val="8"/>
        <rFont val="Times New Roman"/>
        <family val="1"/>
      </rPr>
      <t>2025-07-25T18:53:55</t>
    </r>
  </si>
  <si>
    <r>
      <rPr>
        <sz val="8"/>
        <rFont val="Times New Roman"/>
        <family val="1"/>
      </rPr>
      <t>МОБИКОМ КОРПОРАЦИ ХХК</t>
    </r>
  </si>
  <si>
    <r>
      <rPr>
        <sz val="8"/>
        <rFont val="Times New Roman"/>
        <family val="1"/>
      </rPr>
      <t>1102018877</t>
    </r>
  </si>
  <si>
    <r>
      <rPr>
        <sz val="8"/>
        <rFont val="Times New Roman"/>
        <family val="1"/>
      </rPr>
      <t>2025-07-26T15:58:19</t>
    </r>
  </si>
  <si>
    <r>
      <rPr>
        <sz val="8"/>
        <rFont val="Times New Roman"/>
        <family val="1"/>
      </rPr>
      <t>EK TOKARI,ЛХАГВА ДАЛАЙЖАРГАЛ,ХААН ТӨВ БА</t>
    </r>
  </si>
  <si>
    <r>
      <rPr>
        <sz val="8"/>
        <rFont val="Times New Roman"/>
        <family val="1"/>
      </rPr>
      <t>ЛХАГВА ДАЛАЙЖАРГАЛ</t>
    </r>
  </si>
  <si>
    <r>
      <rPr>
        <sz val="8"/>
        <rFont val="Times New Roman"/>
        <family val="1"/>
      </rPr>
      <t>MN570005005006213406</t>
    </r>
  </si>
  <si>
    <r>
      <rPr>
        <sz val="8"/>
        <rFont val="Times New Roman"/>
        <family val="1"/>
      </rPr>
      <t>2025-07-30T11:57:12</t>
    </r>
  </si>
  <si>
    <r>
      <rPr>
        <sz val="8"/>
        <rFont val="Times New Roman"/>
        <family val="1"/>
      </rPr>
      <t>МДД ҮНИЙН ЗӨРҮҮ,СИНЧИ-ОЙЛ,ХААН ТӨВ БАНК</t>
    </r>
  </si>
  <si>
    <r>
      <rPr>
        <sz val="8"/>
        <rFont val="Times New Roman"/>
        <family val="1"/>
      </rPr>
      <t>СИНЧИ-ОЙЛ</t>
    </r>
  </si>
  <si>
    <r>
      <rPr>
        <sz val="8"/>
        <rFont val="Times New Roman"/>
        <family val="1"/>
      </rPr>
      <t>MN960005005038097865</t>
    </r>
  </si>
  <si>
    <r>
      <rPr>
        <sz val="8"/>
        <rFont val="Times New Roman"/>
        <family val="1"/>
      </rPr>
      <t>2025-07-14T12:30:58</t>
    </r>
  </si>
  <si>
    <r>
      <rPr>
        <sz val="8"/>
        <rFont val="Times New Roman"/>
        <family val="1"/>
      </rPr>
      <t>БЯМБАХОРОЛ ХОСБАЯР</t>
    </r>
  </si>
  <si>
    <r>
      <rPr>
        <sz val="8"/>
        <rFont val="Times New Roman"/>
        <family val="1"/>
      </rPr>
      <t>MN420005005030348343</t>
    </r>
  </si>
  <si>
    <r>
      <rPr>
        <sz val="8"/>
        <rFont val="Times New Roman"/>
        <family val="1"/>
      </rPr>
      <t>2025-07-31T10:34:48</t>
    </r>
  </si>
  <si>
    <r>
      <rPr>
        <sz val="8"/>
        <rFont val="Times New Roman"/>
        <family val="1"/>
      </rPr>
      <t>LAM,БЯМБАХОРОЛ ХОСБАЯР,ХААН ТӨВ БАНК</t>
    </r>
  </si>
  <si>
    <r>
      <rPr>
        <sz val="8"/>
        <rFont val="Times New Roman"/>
        <family val="1"/>
      </rPr>
      <t>2025-07-08T15:42:31</t>
    </r>
  </si>
  <si>
    <r>
      <rPr>
        <sz val="8"/>
        <rFont val="Times New Roman"/>
        <family val="1"/>
      </rPr>
      <t>5899508 4 ХҮН,ХХҮЕГАЗАР,Төрийн сан</t>
    </r>
  </si>
  <si>
    <r>
      <rPr>
        <sz val="8"/>
        <rFont val="Times New Roman"/>
        <family val="1"/>
      </rPr>
      <t>ХХҮЕГАЗАР</t>
    </r>
  </si>
  <si>
    <r>
      <rPr>
        <sz val="8"/>
        <rFont val="Times New Roman"/>
        <family val="1"/>
      </rPr>
      <t>MN830090100900017002</t>
    </r>
  </si>
  <si>
    <r>
      <rPr>
        <sz val="8"/>
        <rFont val="Times New Roman"/>
        <family val="1"/>
      </rPr>
      <t>2025-07-24T11:27:37</t>
    </r>
  </si>
  <si>
    <r>
      <rPr>
        <sz val="8"/>
        <rFont val="Times New Roman"/>
        <family val="1"/>
      </rPr>
      <t>AA MAT,ТОГТООЛ ЦЭВЭЛЛХАСҮРЭН,ХААН ТӨВ БА</t>
    </r>
  </si>
  <si>
    <r>
      <rPr>
        <sz val="8"/>
        <rFont val="Times New Roman"/>
        <family val="1"/>
      </rPr>
      <t>ТОГТООЛ ЦЭВЭЛЛХАСҮРЭН</t>
    </r>
  </si>
  <si>
    <r>
      <rPr>
        <sz val="8"/>
        <rFont val="Times New Roman"/>
        <family val="1"/>
      </rPr>
      <t>MN350005005029185051</t>
    </r>
  </si>
  <si>
    <r>
      <rPr>
        <sz val="8"/>
        <rFont val="Times New Roman"/>
        <family val="1"/>
      </rPr>
      <t>2025-07-31T11:19:06</t>
    </r>
  </si>
  <si>
    <r>
      <rPr>
        <sz val="8"/>
        <rFont val="Times New Roman"/>
        <family val="1"/>
      </rPr>
      <t>MAH,МЯГМАРСҮРЭН АМАРЖАРГАЛ,ХААН ТӨВ БАНК</t>
    </r>
  </si>
  <si>
    <r>
      <rPr>
        <sz val="8"/>
        <rFont val="Times New Roman"/>
        <family val="1"/>
      </rPr>
      <t>МЯГМАРСҮРЭН АМАРЖАРГАЛ</t>
    </r>
  </si>
  <si>
    <r>
      <rPr>
        <sz val="8"/>
        <rFont val="Times New Roman"/>
        <family val="1"/>
      </rPr>
      <t>MN290005005248032194</t>
    </r>
  </si>
  <si>
    <r>
      <rPr>
        <sz val="8"/>
        <rFont val="Times New Roman"/>
        <family val="1"/>
      </rPr>
      <t>2025-07-07T13:37:30</t>
    </r>
  </si>
  <si>
    <r>
      <rPr>
        <sz val="8"/>
        <rFont val="Times New Roman"/>
        <family val="1"/>
      </rPr>
      <t>ZEEL TULULT,ДЭМБЭРЭЛСҮРЭН ЭРДЭНЭЦЭЦЭГ,ХА</t>
    </r>
  </si>
  <si>
    <r>
      <rPr>
        <sz val="8"/>
        <rFont val="Times New Roman"/>
        <family val="1"/>
      </rPr>
      <t>ДЭМБЭРЭЛСҮРЭН ЭРДЭНЭЦЭЦЭГ</t>
    </r>
  </si>
  <si>
    <r>
      <rPr>
        <sz val="8"/>
        <rFont val="Times New Roman"/>
        <family val="1"/>
      </rPr>
      <t>MN230005005735021190</t>
    </r>
  </si>
  <si>
    <r>
      <rPr>
        <sz val="8"/>
        <rFont val="Times New Roman"/>
        <family val="1"/>
      </rPr>
      <t>2025-07-10T18:12:44</t>
    </r>
  </si>
  <si>
    <r>
      <rPr>
        <sz val="8"/>
        <rFont val="Times New Roman"/>
        <family val="1"/>
      </rPr>
      <t>MAHNII UNE,БЯМБАХОРОЛ ХОСБАЯР,ХААН ТӨВ Б</t>
    </r>
  </si>
  <si>
    <r>
      <rPr>
        <sz val="8"/>
        <rFont val="Times New Roman"/>
        <family val="1"/>
      </rPr>
      <t>2025-07-24T11:38:22</t>
    </r>
  </si>
  <si>
    <r>
      <rPr>
        <sz val="8"/>
        <rFont val="Times New Roman"/>
        <family val="1"/>
      </rPr>
      <t>HUNSNII MAT,МААМ УРАНЧИМЭГ,ХААН ТӨВ БАНК</t>
    </r>
  </si>
  <si>
    <r>
      <rPr>
        <sz val="8"/>
        <rFont val="Times New Roman"/>
        <family val="1"/>
      </rPr>
      <t>МААМ УРАНЧИМЭГ</t>
    </r>
  </si>
  <si>
    <r>
      <rPr>
        <sz val="8"/>
        <rFont val="Times New Roman"/>
        <family val="1"/>
      </rPr>
      <t>MN470005005034389273</t>
    </r>
  </si>
  <si>
    <r>
      <rPr>
        <sz val="8"/>
        <rFont val="Times New Roman"/>
        <family val="1"/>
      </rPr>
      <t>2025-07-24T11:21:38</t>
    </r>
  </si>
  <si>
    <r>
      <rPr>
        <sz val="8"/>
        <rFont val="Times New Roman"/>
        <family val="1"/>
      </rPr>
      <t>MAH,ЛХАМСҮРЭН УЯНГА,ХААН ТӨВ БАНК</t>
    </r>
  </si>
  <si>
    <r>
      <rPr>
        <sz val="8"/>
        <rFont val="Times New Roman"/>
        <family val="1"/>
      </rPr>
      <t>ЛХАМСҮРЭН УЯНГА</t>
    </r>
  </si>
  <si>
    <r>
      <rPr>
        <sz val="8"/>
        <rFont val="Times New Roman"/>
        <family val="1"/>
      </rPr>
      <t>MN720005005033817687</t>
    </r>
  </si>
  <si>
    <r>
      <rPr>
        <sz val="8"/>
        <rFont val="Times New Roman"/>
        <family val="1"/>
      </rPr>
      <t>2025-07-24T12:12:58</t>
    </r>
  </si>
  <si>
    <r>
      <rPr>
        <sz val="8"/>
        <rFont val="Times New Roman"/>
        <family val="1"/>
      </rPr>
      <t>HUNS UR TULUV,НУРМАА ЭРДЭНЭСҮХ,ХААН ТӨВ</t>
    </r>
  </si>
  <si>
    <r>
      <rPr>
        <sz val="8"/>
        <rFont val="Times New Roman"/>
        <family val="1"/>
      </rPr>
      <t>2025-07-23T15:29:54</t>
    </r>
  </si>
  <si>
    <r>
      <rPr>
        <sz val="8"/>
        <rFont val="Times New Roman"/>
        <family val="1"/>
      </rPr>
      <t>PP УУЛЫН АЖЛЫН ТӨЛӨВЛӨГӨӨ,ДОЛГОР БОЛДХУЯ</t>
    </r>
  </si>
  <si>
    <r>
      <rPr>
        <sz val="8"/>
        <rFont val="Times New Roman"/>
        <family val="1"/>
      </rPr>
      <t>ДОЛГОР БОЛДХУЯГ</t>
    </r>
  </si>
  <si>
    <r>
      <rPr>
        <sz val="8"/>
        <rFont val="Times New Roman"/>
        <family val="1"/>
      </rPr>
      <t>MN660005005302726239</t>
    </r>
  </si>
  <si>
    <r>
      <rPr>
        <sz val="8"/>
        <rFont val="Times New Roman"/>
        <family val="1"/>
      </rPr>
      <t>2025-07-24T10:20:20</t>
    </r>
  </si>
  <si>
    <r>
      <rPr>
        <sz val="8"/>
        <rFont val="Times New Roman"/>
        <family val="1"/>
      </rPr>
      <t>NOGOON TEJEEL,БЯМБАХОРОЛ ХОСБАЯР,ХААН ТӨ</t>
    </r>
  </si>
  <si>
    <r>
      <rPr>
        <sz val="8"/>
        <rFont val="Times New Roman"/>
        <family val="1"/>
      </rPr>
      <t>2025-07-14T20:33:26</t>
    </r>
  </si>
  <si>
    <r>
      <rPr>
        <sz val="8"/>
        <rFont val="Times New Roman"/>
        <family val="1"/>
      </rPr>
      <t>KRAM,БЯМБАХОРОЛ ЭНХБАЯР,ХААН ТӨВ БАНК</t>
    </r>
  </si>
  <si>
    <r>
      <rPr>
        <sz val="8"/>
        <rFont val="Times New Roman"/>
        <family val="1"/>
      </rPr>
      <t>БЯМБАХОРОЛ ЭНХБАЯР</t>
    </r>
  </si>
  <si>
    <r>
      <rPr>
        <sz val="8"/>
        <rFont val="Times New Roman"/>
        <family val="1"/>
      </rPr>
      <t>MN810005005700603188</t>
    </r>
  </si>
  <si>
    <r>
      <rPr>
        <sz val="8"/>
        <rFont val="Times New Roman"/>
        <family val="1"/>
      </rPr>
      <t>2025-07-24T10:41:52</t>
    </r>
  </si>
  <si>
    <r>
      <rPr>
        <sz val="8"/>
        <rFont val="Times New Roman"/>
        <family val="1"/>
      </rPr>
      <t>SELBEG,НАЙМАНТАЛТ УУЛ,ХААН ТӨВ БАНК</t>
    </r>
  </si>
  <si>
    <r>
      <rPr>
        <sz val="8"/>
        <rFont val="Times New Roman"/>
        <family val="1"/>
      </rPr>
      <t>НАЙМАНТАЛТ УУЛ</t>
    </r>
  </si>
  <si>
    <r>
      <rPr>
        <sz val="8"/>
        <rFont val="Times New Roman"/>
        <family val="1"/>
      </rPr>
      <t>MN040005005087156495</t>
    </r>
  </si>
  <si>
    <r>
      <rPr>
        <sz val="8"/>
        <rFont val="Times New Roman"/>
        <family val="1"/>
      </rPr>
      <t>2025-07-31T10:32:31</t>
    </r>
  </si>
  <si>
    <r>
      <rPr>
        <sz val="8"/>
        <rFont val="Times New Roman"/>
        <family val="1"/>
      </rPr>
      <t>HOG,БЯМБАХОРОЛ ХОСБАЯР,ХААН ТӨВ БАНК</t>
    </r>
  </si>
  <si>
    <r>
      <rPr>
        <sz val="8"/>
        <rFont val="Times New Roman"/>
        <family val="1"/>
      </rPr>
      <t>2025-07-09T13:36:21</t>
    </r>
  </si>
  <si>
    <r>
      <rPr>
        <sz val="8"/>
        <rFont val="Times New Roman"/>
        <family val="1"/>
      </rPr>
      <t>GADAADIIN IRGEN HARIYA,ЭНХБАЯР БЯМБАХОРО</t>
    </r>
  </si>
  <si>
    <r>
      <rPr>
        <sz val="8"/>
        <rFont val="Times New Roman"/>
        <family val="1"/>
      </rPr>
      <t>2025-07-06T21:29:05</t>
    </r>
  </si>
  <si>
    <r>
      <rPr>
        <sz val="8"/>
        <rFont val="Times New Roman"/>
        <family val="1"/>
      </rPr>
      <t>6 SAR TSALIN,ГЭРЭЛМАА МЯГМАРСҮРЭН,ХАС БА</t>
    </r>
  </si>
  <si>
    <r>
      <rPr>
        <sz val="8"/>
        <rFont val="Times New Roman"/>
        <family val="1"/>
      </rPr>
      <t>ГЭРЭЛМАА МЯГМАРСҮРЭН</t>
    </r>
  </si>
  <si>
    <r>
      <rPr>
        <sz val="8"/>
        <rFont val="Times New Roman"/>
        <family val="1"/>
      </rPr>
      <t>MN260032005006016577</t>
    </r>
  </si>
  <si>
    <r>
      <rPr>
        <sz val="8"/>
        <rFont val="Times New Roman"/>
        <family val="1"/>
      </rPr>
      <t>2025-07-06T21:06:51</t>
    </r>
  </si>
  <si>
    <r>
      <rPr>
        <sz val="8"/>
        <rFont val="Times New Roman"/>
        <family val="1"/>
      </rPr>
      <t>6 SAR TSALIN,БАТТОГТОХ ДОВЧИН,ТӨРИЙН БАН</t>
    </r>
  </si>
  <si>
    <r>
      <rPr>
        <sz val="8"/>
        <rFont val="Times New Roman"/>
        <family val="1"/>
      </rPr>
      <t>БАТТОГТОХ ДОВЧИН</t>
    </r>
  </si>
  <si>
    <r>
      <rPr>
        <sz val="8"/>
        <rFont val="Times New Roman"/>
        <family val="1"/>
      </rPr>
      <t>MN790034340502550528</t>
    </r>
  </si>
  <si>
    <r>
      <rPr>
        <sz val="8"/>
        <rFont val="Times New Roman"/>
        <family val="1"/>
      </rPr>
      <t>2025-07-24T12:11:35</t>
    </r>
  </si>
  <si>
    <r>
      <rPr>
        <sz val="8"/>
        <rFont val="Times New Roman"/>
        <family val="1"/>
      </rPr>
      <t>NOGOON TEHEEL,БЯМБАХОРОЛ ХОСБАЯР,ХААН ТӨ</t>
    </r>
  </si>
  <si>
    <r>
      <rPr>
        <sz val="8"/>
        <rFont val="Times New Roman"/>
        <family val="1"/>
      </rPr>
      <t>2025-07-06T21:15:45</t>
    </r>
  </si>
  <si>
    <r>
      <rPr>
        <sz val="8"/>
        <rFont val="Times New Roman"/>
        <family val="1"/>
      </rPr>
      <t>6SAR TSALIN,СҮРЭНЖАВ МӨНХЦЭЦЭГ,ХААН ТӨВ</t>
    </r>
  </si>
  <si>
    <r>
      <rPr>
        <sz val="8"/>
        <rFont val="Times New Roman"/>
        <family val="1"/>
      </rPr>
      <t>СҮРЭНЖАВ МӨНХЦЭЦЭГ</t>
    </r>
  </si>
  <si>
    <r>
      <rPr>
        <sz val="8"/>
        <rFont val="Times New Roman"/>
        <family val="1"/>
      </rPr>
      <t>MN940005005270448015</t>
    </r>
  </si>
  <si>
    <r>
      <rPr>
        <sz val="8"/>
        <rFont val="Times New Roman"/>
        <family val="1"/>
      </rPr>
      <t>2025-07-06T21:20:34</t>
    </r>
  </si>
  <si>
    <r>
      <rPr>
        <sz val="8"/>
        <rFont val="Times New Roman"/>
        <family val="1"/>
      </rPr>
      <t>6 SAR TSALIN,ГҮРРАГЧАА СОСОРБАРАМ,ХААН Т</t>
    </r>
  </si>
  <si>
    <r>
      <rPr>
        <sz val="8"/>
        <rFont val="Times New Roman"/>
        <family val="1"/>
      </rPr>
      <t>ГҮРРАГЧАА СОСОРБАРАМ</t>
    </r>
  </si>
  <si>
    <r>
      <rPr>
        <sz val="8"/>
        <rFont val="Times New Roman"/>
        <family val="1"/>
      </rPr>
      <t>MN180005005328033336</t>
    </r>
  </si>
  <si>
    <r>
      <rPr>
        <sz val="8"/>
        <rFont val="Times New Roman"/>
        <family val="1"/>
      </rPr>
      <t>2025-07-07T09:55:37</t>
    </r>
  </si>
  <si>
    <r>
      <rPr>
        <sz val="8"/>
        <rFont val="Times New Roman"/>
        <family val="1"/>
      </rPr>
      <t>6 SAR TSALIN,ЛХААЖАВ ДАРИНЧУЛУУН,ХААН ТӨ</t>
    </r>
  </si>
  <si>
    <r>
      <rPr>
        <sz val="8"/>
        <rFont val="Times New Roman"/>
        <family val="1"/>
      </rPr>
      <t>ЛХААЖАВ ДАРИНЧУЛУУН</t>
    </r>
  </si>
  <si>
    <r>
      <rPr>
        <sz val="8"/>
        <rFont val="Times New Roman"/>
        <family val="1"/>
      </rPr>
      <t>MN150005005024050425</t>
    </r>
  </si>
  <si>
    <r>
      <rPr>
        <sz val="8"/>
        <rFont val="Times New Roman"/>
        <family val="1"/>
      </rPr>
      <t>2025-07-09T14:06:30</t>
    </r>
  </si>
  <si>
    <r>
      <rPr>
        <sz val="8"/>
        <rFont val="Times New Roman"/>
        <family val="1"/>
      </rPr>
      <t>OGLOONII GUILGEE BUTSAAV,БЯМБАХОРОЛ ЭНХБ</t>
    </r>
  </si>
  <si>
    <r>
      <rPr>
        <sz val="8"/>
        <rFont val="Times New Roman"/>
        <family val="1"/>
      </rPr>
      <t>2025-07-06T21:24:37</t>
    </r>
  </si>
  <si>
    <r>
      <rPr>
        <sz val="8"/>
        <rFont val="Times New Roman"/>
        <family val="1"/>
      </rPr>
      <t>6 SAR TSALIN,ХОЛООХ БАТНЯМ,ХААН ТӨВ БАНК</t>
    </r>
  </si>
  <si>
    <r>
      <rPr>
        <sz val="8"/>
        <rFont val="Times New Roman"/>
        <family val="1"/>
      </rPr>
      <t>ХОЛООХ БАТНЯМ</t>
    </r>
  </si>
  <si>
    <r>
      <rPr>
        <sz val="8"/>
        <rFont val="Times New Roman"/>
        <family val="1"/>
      </rPr>
      <t>MN490005005721197058</t>
    </r>
  </si>
  <si>
    <r>
      <rPr>
        <sz val="8"/>
        <rFont val="Times New Roman"/>
        <family val="1"/>
      </rPr>
      <t>2025-07-06T21:31:06</t>
    </r>
  </si>
  <si>
    <r>
      <rPr>
        <sz val="8"/>
        <rFont val="Times New Roman"/>
        <family val="1"/>
      </rPr>
      <t>6 SAR TSALIN,ШАРХҮҮ ХҮРЭЛСҮХ,ХААН ТӨВ БА</t>
    </r>
  </si>
  <si>
    <r>
      <rPr>
        <sz val="8"/>
        <rFont val="Times New Roman"/>
        <family val="1"/>
      </rPr>
      <t>ШАРХҮҮ ХҮРЭЛСҮХ</t>
    </r>
  </si>
  <si>
    <r>
      <rPr>
        <sz val="8"/>
        <rFont val="Times New Roman"/>
        <family val="1"/>
      </rPr>
      <t>MN460005005070246117</t>
    </r>
  </si>
  <si>
    <r>
      <rPr>
        <sz val="8"/>
        <rFont val="Times New Roman"/>
        <family val="1"/>
      </rPr>
      <t>2025-07-07T10:08:04</t>
    </r>
  </si>
  <si>
    <r>
      <rPr>
        <sz val="8"/>
        <rFont val="Times New Roman"/>
        <family val="1"/>
      </rPr>
      <t>ХУЯГАА 6 САР ЦАЛИН ПП,МАРУУШ ЛХАГВАДОРЖ,</t>
    </r>
  </si>
  <si>
    <r>
      <rPr>
        <sz val="8"/>
        <rFont val="Times New Roman"/>
        <family val="1"/>
      </rPr>
      <t>МАРУУШ ЛХАГВАДОРЖ</t>
    </r>
  </si>
  <si>
    <r>
      <rPr>
        <sz val="8"/>
        <rFont val="Times New Roman"/>
        <family val="1"/>
      </rPr>
      <t>MN290005005720619298</t>
    </r>
  </si>
  <si>
    <r>
      <rPr>
        <sz val="8"/>
        <rFont val="Times New Roman"/>
        <family val="1"/>
      </rPr>
      <t>2025-07-06T21:26:16</t>
    </r>
  </si>
  <si>
    <r>
      <rPr>
        <sz val="8"/>
        <rFont val="Times New Roman"/>
        <family val="1"/>
      </rPr>
      <t>6 SAR TSALIN,ХУДАЙ ТӨМӨРХУЯГ,ХААН ТӨВ БА</t>
    </r>
  </si>
  <si>
    <r>
      <rPr>
        <sz val="8"/>
        <rFont val="Times New Roman"/>
        <family val="1"/>
      </rPr>
      <t>ХУДАЙ ТӨМӨРХУЯГ</t>
    </r>
  </si>
  <si>
    <r>
      <rPr>
        <sz val="8"/>
        <rFont val="Times New Roman"/>
        <family val="1"/>
      </rPr>
      <t>MN100005005030795992</t>
    </r>
  </si>
  <si>
    <r>
      <rPr>
        <sz val="8"/>
        <rFont val="Times New Roman"/>
        <family val="1"/>
      </rPr>
      <t>2025-07-06T20:59:32</t>
    </r>
  </si>
  <si>
    <r>
      <rPr>
        <sz val="8"/>
        <rFont val="Times New Roman"/>
        <family val="1"/>
      </rPr>
      <t>6 SAR TSALIN,ҮРЧГЭР ТӨМӨРБААТАР,ТӨРИЙН Б</t>
    </r>
  </si>
  <si>
    <r>
      <rPr>
        <sz val="8"/>
        <rFont val="Times New Roman"/>
        <family val="1"/>
      </rPr>
      <t>ҮРЧГЭР ТӨМӨРБААТАР</t>
    </r>
  </si>
  <si>
    <r>
      <rPr>
        <sz val="8"/>
        <rFont val="Times New Roman"/>
        <family val="1"/>
      </rPr>
      <t>MN740034241300032146</t>
    </r>
  </si>
  <si>
    <r>
      <rPr>
        <sz val="8"/>
        <rFont val="Times New Roman"/>
        <family val="1"/>
      </rPr>
      <t>2025-07-06T21:18:36</t>
    </r>
  </si>
  <si>
    <r>
      <rPr>
        <sz val="8"/>
        <rFont val="Times New Roman"/>
        <family val="1"/>
      </rPr>
      <t>6 SAR TSALIN,ЭРДЭНЭЧИМЭГ СОДГЭРЭЛ,ХААН Т</t>
    </r>
  </si>
  <si>
    <r>
      <rPr>
        <sz val="8"/>
        <rFont val="Times New Roman"/>
        <family val="1"/>
      </rPr>
      <t>ЭРДЭНЭЧИМЭГ СОДГЭРЭЛ</t>
    </r>
  </si>
  <si>
    <r>
      <rPr>
        <sz val="8"/>
        <rFont val="Times New Roman"/>
        <family val="1"/>
      </rPr>
      <t>MN340005005055681783</t>
    </r>
  </si>
  <si>
    <r>
      <rPr>
        <sz val="8"/>
        <rFont val="Times New Roman"/>
        <family val="1"/>
      </rPr>
      <t>2025-07-30T11:49:40</t>
    </r>
  </si>
  <si>
    <r>
      <rPr>
        <sz val="8"/>
        <rFont val="Times New Roman"/>
        <family val="1"/>
      </rPr>
      <t>EKSKI ZASVAR,ӨЛЗИЙ ЗОРИГТӨГС,ХУД ХӨГЖ ТӨ</t>
    </r>
  </si>
  <si>
    <r>
      <rPr>
        <sz val="8"/>
        <rFont val="Times New Roman"/>
        <family val="1"/>
      </rPr>
      <t>ӨЛЗИЙ ЗОРИГТӨГС</t>
    </r>
  </si>
  <si>
    <r>
      <rPr>
        <sz val="8"/>
        <rFont val="Times New Roman"/>
        <family val="1"/>
      </rPr>
      <t>MN270004000437027832</t>
    </r>
  </si>
  <si>
    <r>
      <rPr>
        <sz val="8"/>
        <rFont val="Times New Roman"/>
        <family val="1"/>
      </rPr>
      <t>2025-07-22T18:20:19</t>
    </r>
  </si>
  <si>
    <r>
      <rPr>
        <sz val="8"/>
        <rFont val="Times New Roman"/>
        <family val="1"/>
      </rPr>
      <t>1101159 PP TOGNII TOLBOR</t>
    </r>
  </si>
  <si>
    <r>
      <rPr>
        <sz val="8"/>
        <rFont val="Times New Roman"/>
        <family val="1"/>
      </rPr>
      <t>УБЦТС</t>
    </r>
  </si>
  <si>
    <r>
      <rPr>
        <sz val="8"/>
        <rFont val="Times New Roman"/>
        <family val="1"/>
      </rPr>
      <t>1102033206</t>
    </r>
  </si>
  <si>
    <r>
      <rPr>
        <sz val="8"/>
        <rFont val="Times New Roman"/>
        <family val="1"/>
      </rPr>
      <t>2025-07-24T13:19:54</t>
    </r>
  </si>
  <si>
    <r>
      <rPr>
        <sz val="8"/>
        <rFont val="Times New Roman"/>
        <family val="1"/>
      </rPr>
      <t>ZASVART,БАЛХУР,ХААН ТӨВ БАНК</t>
    </r>
  </si>
  <si>
    <r>
      <rPr>
        <sz val="8"/>
        <rFont val="Times New Roman"/>
        <family val="1"/>
      </rPr>
      <t>БАЛХУР</t>
    </r>
  </si>
  <si>
    <r>
      <rPr>
        <sz val="8"/>
        <rFont val="Times New Roman"/>
        <family val="1"/>
      </rPr>
      <t>MN530005005087413342</t>
    </r>
  </si>
  <si>
    <r>
      <rPr>
        <sz val="8"/>
        <rFont val="Times New Roman"/>
        <family val="1"/>
      </rPr>
      <t>2025-07-06T21:13:58</t>
    </r>
  </si>
  <si>
    <r>
      <rPr>
        <sz val="8"/>
        <rFont val="Times New Roman"/>
        <family val="1"/>
      </rPr>
      <t>6 SAR TSALIN,АРИУНБОЛД БАТСУУРЬ,ХУД ХӨГЖ</t>
    </r>
  </si>
  <si>
    <r>
      <rPr>
        <sz val="8"/>
        <rFont val="Times New Roman"/>
        <family val="1"/>
      </rPr>
      <t>АРИУНБОЛД БАТСУУРЬ</t>
    </r>
  </si>
  <si>
    <r>
      <rPr>
        <sz val="8"/>
        <rFont val="Times New Roman"/>
        <family val="1"/>
      </rPr>
      <t>MN700004000416064776</t>
    </r>
  </si>
  <si>
    <r>
      <rPr>
        <sz val="8"/>
        <rFont val="Times New Roman"/>
        <family val="1"/>
      </rPr>
      <t>2025-07-28T13:32:33</t>
    </r>
  </si>
  <si>
    <r>
      <rPr>
        <sz val="8"/>
        <rFont val="Times New Roman"/>
        <family val="1"/>
      </rPr>
      <t>Б.ЭНХБАЯР, 88102299</t>
    </r>
  </si>
  <si>
    <r>
      <rPr>
        <sz val="8"/>
        <rFont val="Times New Roman"/>
        <family val="1"/>
      </rPr>
      <t>ОЧИР УНДРАА ОМЗ ББСБ</t>
    </r>
  </si>
  <si>
    <r>
      <rPr>
        <sz val="8"/>
        <rFont val="Times New Roman"/>
        <family val="1"/>
      </rPr>
      <t>1905008266</t>
    </r>
  </si>
  <si>
    <r>
      <rPr>
        <sz val="8"/>
        <rFont val="Times New Roman"/>
        <family val="1"/>
      </rPr>
      <t>2025-07-28T12:58:25</t>
    </r>
  </si>
  <si>
    <r>
      <rPr>
        <sz val="8"/>
        <rFont val="Times New Roman"/>
        <family val="1"/>
      </rPr>
      <t>СЭЛБЭГ ПП,XXX CAINA,ХААН ТӨВ БАНК</t>
    </r>
  </si>
  <si>
    <r>
      <rPr>
        <sz val="8"/>
        <rFont val="Times New Roman"/>
        <family val="1"/>
      </rPr>
      <t>XXX CAINA</t>
    </r>
  </si>
  <si>
    <r>
      <rPr>
        <sz val="8"/>
        <rFont val="Times New Roman"/>
        <family val="1"/>
      </rPr>
      <t>MN620005005087584385</t>
    </r>
  </si>
  <si>
    <r>
      <rPr>
        <sz val="8"/>
        <rFont val="Times New Roman"/>
        <family val="1"/>
      </rPr>
      <t>2025-07-20T21:25:51</t>
    </r>
  </si>
  <si>
    <r>
      <rPr>
        <sz val="8"/>
        <rFont val="Times New Roman"/>
        <family val="1"/>
      </rPr>
      <t>7 R SARIIN EHNII TSALIN,ЭРДЭНЭЧИМЭГ СОДГ</t>
    </r>
  </si>
  <si>
    <r>
      <rPr>
        <sz val="8"/>
        <rFont val="Times New Roman"/>
        <family val="1"/>
      </rPr>
      <t>2025-07-20T21:24:04</t>
    </r>
  </si>
  <si>
    <r>
      <rPr>
        <sz val="8"/>
        <rFont val="Times New Roman"/>
        <family val="1"/>
      </rPr>
      <t>7 R SAR EHNII HAGAS TSALIN,АРИУНБОЛД БАТ</t>
    </r>
  </si>
  <si>
    <r>
      <rPr>
        <sz val="8"/>
        <rFont val="Times New Roman"/>
        <family val="1"/>
      </rPr>
      <t>2025-07-07T12:33:42</t>
    </r>
  </si>
  <si>
    <r>
      <rPr>
        <sz val="8"/>
        <rFont val="Times New Roman"/>
        <family val="1"/>
      </rPr>
      <t>ZEEL TULULT,НУРМАА ЭРДЭНЭСҮХ,ХААН ТӨВ БА</t>
    </r>
  </si>
  <si>
    <r>
      <rPr>
        <sz val="8"/>
        <rFont val="Times New Roman"/>
        <family val="1"/>
      </rPr>
      <t>2025-07-28T12:56:46</t>
    </r>
  </si>
  <si>
    <r>
      <rPr>
        <sz val="8"/>
        <rFont val="Times New Roman"/>
        <family val="1"/>
      </rPr>
      <t>2025-07-09T09:09:12</t>
    </r>
  </si>
  <si>
    <r>
      <rPr>
        <sz val="8"/>
        <rFont val="Times New Roman"/>
        <family val="1"/>
      </rPr>
      <t>4161УБҮ ТҮРЭЭС,МАРУУШ ЛХАГВАДОРЖ,ХААН ТӨ</t>
    </r>
  </si>
  <si>
    <r>
      <rPr>
        <sz val="8"/>
        <rFont val="Times New Roman"/>
        <family val="1"/>
      </rPr>
      <t>2025-07-07T18:28:43</t>
    </r>
  </si>
  <si>
    <r>
      <rPr>
        <sz val="8"/>
        <rFont val="Times New Roman"/>
        <family val="1"/>
      </rPr>
      <t>АЛТАНГЭРЭЛ ЦАСЧИХЭР,СЭБҮ СТАДИ ТУР,ХААН ТӨВ БАНК</t>
    </r>
  </si>
  <si>
    <r>
      <rPr>
        <sz val="8"/>
        <rFont val="Times New Roman"/>
        <family val="1"/>
      </rPr>
      <t>СЭБҮ СТАДИ ТУР</t>
    </r>
  </si>
  <si>
    <r>
      <rPr>
        <sz val="8"/>
        <rFont val="Times New Roman"/>
        <family val="1"/>
      </rPr>
      <t>MN920005005431711327</t>
    </r>
  </si>
  <si>
    <t>Нөат</t>
  </si>
  <si>
    <r>
      <rPr>
        <sz val="9"/>
        <rFont val="Times New Roman"/>
        <family val="1"/>
      </rPr>
      <t>AJLIIN BEELII,ГОМБО ДЭЛГЭРМАА,ХААН ТӨВ Б</t>
    </r>
  </si>
  <si>
    <r>
      <rPr>
        <sz val="9"/>
        <rFont val="Times New Roman"/>
        <family val="1"/>
      </rPr>
      <t>ГОМБО ДЭЛГЭРМАА</t>
    </r>
  </si>
  <si>
    <r>
      <rPr>
        <sz val="9"/>
        <rFont val="Times New Roman"/>
        <family val="1"/>
      </rPr>
      <t>MN080005005074071026</t>
    </r>
  </si>
  <si>
    <r>
      <rPr>
        <sz val="9"/>
        <rFont val="Times New Roman"/>
        <family val="1"/>
      </rPr>
      <t>HALUUN US 4,НУРМАА ЭРДЭНЭСҮХ,ХААН ТӨВ БА</t>
    </r>
  </si>
  <si>
    <r>
      <rPr>
        <sz val="9"/>
        <rFont val="Times New Roman"/>
        <family val="1"/>
      </rPr>
      <t>НУРМАА ЭРДЭНЭСҮХ</t>
    </r>
  </si>
  <si>
    <r>
      <rPr>
        <sz val="9"/>
        <rFont val="Times New Roman"/>
        <family val="1"/>
      </rPr>
      <t>MN170005005026304378</t>
    </r>
  </si>
  <si>
    <r>
      <rPr>
        <sz val="9"/>
        <rFont val="Times New Roman"/>
        <family val="1"/>
      </rPr>
      <t>ARCHIH MATERIAL,БАТБОЛД ТУЯАЦЭЦЭГ,ХААН Т</t>
    </r>
  </si>
  <si>
    <r>
      <rPr>
        <sz val="9"/>
        <rFont val="Times New Roman"/>
        <family val="1"/>
      </rPr>
      <t>БАТБОЛД ТУЯАЦЭЦЭГ</t>
    </r>
  </si>
  <si>
    <r>
      <rPr>
        <sz val="9"/>
        <rFont val="Times New Roman"/>
        <family val="1"/>
      </rPr>
      <t>MN210005005029430810</t>
    </r>
  </si>
  <si>
    <r>
      <rPr>
        <sz val="9"/>
        <rFont val="Times New Roman"/>
        <family val="1"/>
      </rPr>
      <t>INTERNET,ЭНХБАЯР БЯМБАХОРОЛ,ТӨРИЙН БАНК</t>
    </r>
  </si>
  <si>
    <r>
      <rPr>
        <sz val="9"/>
        <rFont val="Times New Roman"/>
        <family val="1"/>
      </rPr>
      <t>ЭНХБАЯР БЯМБАХОРОЛ</t>
    </r>
  </si>
  <si>
    <r>
      <rPr>
        <sz val="9"/>
        <rFont val="Times New Roman"/>
        <family val="1"/>
      </rPr>
      <t>MN050034360000378300</t>
    </r>
  </si>
  <si>
    <r>
      <rPr>
        <sz val="9"/>
        <rFont val="Times New Roman"/>
        <family val="1"/>
      </rPr>
      <t>МОБИКОМ КОРПОРАЦИ ХХК</t>
    </r>
  </si>
  <si>
    <r>
      <rPr>
        <sz val="9"/>
        <rFont val="Times New Roman"/>
        <family val="1"/>
      </rPr>
      <t>1102018877</t>
    </r>
  </si>
  <si>
    <r>
      <rPr>
        <sz val="9"/>
        <rFont val="Times New Roman"/>
        <family val="1"/>
      </rPr>
      <t>EK TOKARI,ЛХАГВА ДАЛАЙЖАРГАЛ,ХААН ТӨВ БА</t>
    </r>
  </si>
  <si>
    <r>
      <rPr>
        <sz val="9"/>
        <rFont val="Times New Roman"/>
        <family val="1"/>
      </rPr>
      <t>ЛХАГВА ДАЛАЙЖАРГАЛ</t>
    </r>
  </si>
  <si>
    <r>
      <rPr>
        <sz val="9"/>
        <rFont val="Times New Roman"/>
        <family val="1"/>
      </rPr>
      <t>MN570005005006213406</t>
    </r>
  </si>
  <si>
    <r>
      <rPr>
        <sz val="9"/>
        <rFont val="Times New Roman"/>
        <family val="1"/>
      </rPr>
      <t>МДД ҮНИЙН ЗӨРҮҮ,СИНЧИ-ОЙЛ,ХААН ТӨВ БАНК</t>
    </r>
  </si>
  <si>
    <r>
      <rPr>
        <sz val="9"/>
        <rFont val="Times New Roman"/>
        <family val="1"/>
      </rPr>
      <t>СИНЧИ-ОЙЛ</t>
    </r>
  </si>
  <si>
    <r>
      <rPr>
        <sz val="9"/>
        <rFont val="Times New Roman"/>
        <family val="1"/>
      </rPr>
      <t>MN960005005038097865</t>
    </r>
  </si>
  <si>
    <r>
      <rPr>
        <sz val="9"/>
        <rFont val="Times New Roman"/>
        <family val="1"/>
      </rPr>
      <t>БЯМБАХОРОЛ ХОСБАЯР</t>
    </r>
  </si>
  <si>
    <r>
      <rPr>
        <sz val="9"/>
        <rFont val="Times New Roman"/>
        <family val="1"/>
      </rPr>
      <t>MN420005005030348343</t>
    </r>
  </si>
  <si>
    <r>
      <rPr>
        <sz val="9"/>
        <rFont val="Times New Roman"/>
        <family val="1"/>
      </rPr>
      <t>LAM,БЯМБАХОРОЛ ХОСБАЯР,ХААН ТӨВ БАНК</t>
    </r>
  </si>
  <si>
    <r>
      <rPr>
        <sz val="9"/>
        <rFont val="Times New Roman"/>
        <family val="1"/>
      </rPr>
      <t>5899508 4 ХҮН,ХХҮЕГАЗАР,Төрийн сан</t>
    </r>
  </si>
  <si>
    <r>
      <rPr>
        <sz val="9"/>
        <rFont val="Times New Roman"/>
        <family val="1"/>
      </rPr>
      <t>ХХҮЕГАЗАР</t>
    </r>
  </si>
  <si>
    <r>
      <rPr>
        <sz val="9"/>
        <rFont val="Times New Roman"/>
        <family val="1"/>
      </rPr>
      <t>MN830090100900017002</t>
    </r>
  </si>
  <si>
    <r>
      <rPr>
        <sz val="9"/>
        <rFont val="Times New Roman"/>
        <family val="1"/>
      </rPr>
      <t>AA MAT,ТОГТООЛ ЦЭВЭЛЛХАСҮРЭН,ХААН ТӨВ БА</t>
    </r>
  </si>
  <si>
    <r>
      <rPr>
        <sz val="9"/>
        <rFont val="Times New Roman"/>
        <family val="1"/>
      </rPr>
      <t>ТОГТООЛ ЦЭВЭЛЛХАСҮРЭН</t>
    </r>
  </si>
  <si>
    <r>
      <rPr>
        <sz val="9"/>
        <rFont val="Times New Roman"/>
        <family val="1"/>
      </rPr>
      <t>MN350005005029185051</t>
    </r>
  </si>
  <si>
    <r>
      <rPr>
        <sz val="9"/>
        <rFont val="Times New Roman"/>
        <family val="1"/>
      </rPr>
      <t>MAH,МЯГМАРСҮРЭН АМАРЖАРГАЛ,ХААН ТӨВ БАНК</t>
    </r>
  </si>
  <si>
    <r>
      <rPr>
        <sz val="9"/>
        <rFont val="Times New Roman"/>
        <family val="1"/>
      </rPr>
      <t>МЯГМАРСҮРЭН АМАРЖАРГАЛ</t>
    </r>
  </si>
  <si>
    <r>
      <rPr>
        <sz val="9"/>
        <rFont val="Times New Roman"/>
        <family val="1"/>
      </rPr>
      <t>MN290005005248032194</t>
    </r>
  </si>
  <si>
    <r>
      <rPr>
        <sz val="9"/>
        <rFont val="Times New Roman"/>
        <family val="1"/>
      </rPr>
      <t>ZEEL TULULT,ДЭМБЭРЭЛСҮРЭН ЭРДЭНЭЦЭЦЭГ,ХА</t>
    </r>
  </si>
  <si>
    <r>
      <rPr>
        <sz val="9"/>
        <rFont val="Times New Roman"/>
        <family val="1"/>
      </rPr>
      <t>ДЭМБЭРЭЛСҮРЭН ЭРДЭНЭЦЭЦЭГ</t>
    </r>
  </si>
  <si>
    <r>
      <rPr>
        <sz val="9"/>
        <rFont val="Times New Roman"/>
        <family val="1"/>
      </rPr>
      <t>MN230005005735021190</t>
    </r>
  </si>
  <si>
    <r>
      <rPr>
        <sz val="9"/>
        <rFont val="Times New Roman"/>
        <family val="1"/>
      </rPr>
      <t>MAHNII UNE,БЯМБАХОРОЛ ХОСБАЯР,ХААН ТӨВ Б</t>
    </r>
  </si>
  <si>
    <r>
      <rPr>
        <sz val="9"/>
        <rFont val="Times New Roman"/>
        <family val="1"/>
      </rPr>
      <t>HUNSNII MAT,МААМ УРАНЧИМЭГ,ХААН ТӨВ БАНК</t>
    </r>
  </si>
  <si>
    <r>
      <rPr>
        <sz val="9"/>
        <rFont val="Times New Roman"/>
        <family val="1"/>
      </rPr>
      <t>МААМ УРАНЧИМЭГ</t>
    </r>
  </si>
  <si>
    <r>
      <rPr>
        <sz val="9"/>
        <rFont val="Times New Roman"/>
        <family val="1"/>
      </rPr>
      <t>MN470005005034389273</t>
    </r>
  </si>
  <si>
    <r>
      <rPr>
        <sz val="9"/>
        <rFont val="Times New Roman"/>
        <family val="1"/>
      </rPr>
      <t>MAH,ЛХАМСҮРЭН УЯНГА,ХААН ТӨВ БАНК</t>
    </r>
  </si>
  <si>
    <r>
      <rPr>
        <sz val="9"/>
        <rFont val="Times New Roman"/>
        <family val="1"/>
      </rPr>
      <t>ЛХАМСҮРЭН УЯНГА</t>
    </r>
  </si>
  <si>
    <r>
      <rPr>
        <sz val="9"/>
        <rFont val="Times New Roman"/>
        <family val="1"/>
      </rPr>
      <t>MN720005005033817687</t>
    </r>
  </si>
  <si>
    <r>
      <rPr>
        <sz val="9"/>
        <rFont val="Times New Roman"/>
        <family val="1"/>
      </rPr>
      <t>HUNS UR TULUV,НУРМАА ЭРДЭНЭСҮХ,ХААН ТӨВ</t>
    </r>
  </si>
  <si>
    <r>
      <rPr>
        <sz val="9"/>
        <rFont val="Times New Roman"/>
        <family val="1"/>
      </rPr>
      <t>PP УУЛЫН АЖЛЫН ТӨЛӨВЛӨГӨӨ,ДОЛГОР БОЛДХУЯ</t>
    </r>
  </si>
  <si>
    <r>
      <rPr>
        <sz val="9"/>
        <rFont val="Times New Roman"/>
        <family val="1"/>
      </rPr>
      <t>ДОЛГОР БОЛДХУЯГ</t>
    </r>
  </si>
  <si>
    <r>
      <rPr>
        <sz val="9"/>
        <rFont val="Times New Roman"/>
        <family val="1"/>
      </rPr>
      <t>MN660005005302726239</t>
    </r>
  </si>
  <si>
    <r>
      <rPr>
        <sz val="9"/>
        <rFont val="Times New Roman"/>
        <family val="1"/>
      </rPr>
      <t>NOGOON TEJEEL,БЯМБАХОРОЛ ХОСБАЯР,ХААН ТӨ</t>
    </r>
  </si>
  <si>
    <r>
      <rPr>
        <sz val="9"/>
        <rFont val="Times New Roman"/>
        <family val="1"/>
      </rPr>
      <t>KRAM,БЯМБАХОРОЛ ЭНХБАЯР,ХААН ТӨВ БАНК</t>
    </r>
  </si>
  <si>
    <r>
      <rPr>
        <sz val="9"/>
        <rFont val="Times New Roman"/>
        <family val="1"/>
      </rPr>
      <t>БЯМБАХОРОЛ ЭНХБАЯР</t>
    </r>
  </si>
  <si>
    <r>
      <rPr>
        <sz val="9"/>
        <rFont val="Times New Roman"/>
        <family val="1"/>
      </rPr>
      <t>MN810005005700603188</t>
    </r>
  </si>
  <si>
    <r>
      <rPr>
        <sz val="9"/>
        <rFont val="Times New Roman"/>
        <family val="1"/>
      </rPr>
      <t>SELBEG,НАЙМАНТАЛТ УУЛ,ХААН ТӨВ БАНК</t>
    </r>
  </si>
  <si>
    <r>
      <rPr>
        <sz val="9"/>
        <rFont val="Times New Roman"/>
        <family val="1"/>
      </rPr>
      <t>НАЙМАНТАЛТ УУЛ</t>
    </r>
  </si>
  <si>
    <r>
      <rPr>
        <sz val="9"/>
        <rFont val="Times New Roman"/>
        <family val="1"/>
      </rPr>
      <t>MN040005005087156495</t>
    </r>
  </si>
  <si>
    <r>
      <rPr>
        <sz val="9"/>
        <rFont val="Times New Roman"/>
        <family val="1"/>
      </rPr>
      <t>HOG,БЯМБАХОРОЛ ХОСБАЯР,ХААН ТӨВ БАНК</t>
    </r>
  </si>
  <si>
    <r>
      <rPr>
        <sz val="9"/>
        <rFont val="Times New Roman"/>
        <family val="1"/>
      </rPr>
      <t>GADAADIIN IRGEN HARIYA,ЭНХБАЯР БЯМБАХОРО</t>
    </r>
  </si>
  <si>
    <r>
      <rPr>
        <sz val="9"/>
        <rFont val="Times New Roman"/>
        <family val="1"/>
      </rPr>
      <t>NOGOON TEHEEL,БЯМБАХОРОЛ ХОСБАЯР,ХААН ТӨ</t>
    </r>
  </si>
  <si>
    <r>
      <rPr>
        <sz val="9"/>
        <rFont val="Times New Roman"/>
        <family val="1"/>
      </rPr>
      <t>OGLOONII GUILGEE BUTSAAV,БЯМБАХОРОЛ ЭНХБ</t>
    </r>
  </si>
  <si>
    <r>
      <rPr>
        <sz val="9"/>
        <rFont val="Times New Roman"/>
        <family val="1"/>
      </rPr>
      <t>EKSKI ZASVAR,ӨЛЗИЙ ЗОРИГТӨГС,ХУД ХӨГЖ ТӨ</t>
    </r>
  </si>
  <si>
    <r>
      <rPr>
        <sz val="9"/>
        <rFont val="Times New Roman"/>
        <family val="1"/>
      </rPr>
      <t>ӨЛЗИЙ ЗОРИГТӨГС</t>
    </r>
  </si>
  <si>
    <r>
      <rPr>
        <sz val="9"/>
        <rFont val="Times New Roman"/>
        <family val="1"/>
      </rPr>
      <t>MN270004000437027832</t>
    </r>
  </si>
  <si>
    <r>
      <rPr>
        <sz val="9"/>
        <rFont val="Times New Roman"/>
        <family val="1"/>
      </rPr>
      <t>1101159 PP TOGNII TOLBOR</t>
    </r>
  </si>
  <si>
    <r>
      <rPr>
        <sz val="9"/>
        <rFont val="Times New Roman"/>
        <family val="1"/>
      </rPr>
      <t>УБЦТС</t>
    </r>
  </si>
  <si>
    <r>
      <rPr>
        <sz val="9"/>
        <rFont val="Times New Roman"/>
        <family val="1"/>
      </rPr>
      <t>1102033206</t>
    </r>
  </si>
  <si>
    <r>
      <rPr>
        <sz val="9"/>
        <rFont val="Times New Roman"/>
        <family val="1"/>
      </rPr>
      <t>ZASVART,БАЛХУР,ХААН ТӨВ БАНК</t>
    </r>
  </si>
  <si>
    <r>
      <rPr>
        <sz val="9"/>
        <rFont val="Times New Roman"/>
        <family val="1"/>
      </rPr>
      <t>БАЛХУР</t>
    </r>
  </si>
  <si>
    <r>
      <rPr>
        <sz val="9"/>
        <rFont val="Times New Roman"/>
        <family val="1"/>
      </rPr>
      <t>MN530005005087413342</t>
    </r>
  </si>
  <si>
    <r>
      <rPr>
        <sz val="9"/>
        <rFont val="Times New Roman"/>
        <family val="1"/>
      </rPr>
      <t>СЭЛБЭГ ПП,XXX CAINA,ХААН ТӨВ БАНК</t>
    </r>
  </si>
  <si>
    <r>
      <rPr>
        <sz val="9"/>
        <rFont val="Times New Roman"/>
        <family val="1"/>
      </rPr>
      <t>XXX CAINA</t>
    </r>
  </si>
  <si>
    <r>
      <rPr>
        <sz val="9"/>
        <rFont val="Times New Roman"/>
        <family val="1"/>
      </rPr>
      <t>MN620005005087584385</t>
    </r>
  </si>
  <si>
    <r>
      <rPr>
        <sz val="9"/>
        <rFont val="Times New Roman"/>
        <family val="1"/>
      </rPr>
      <t>ZEEL TULULT,НУРМАА ЭРДЭНЭСҮХ,ХААН ТӨВ БА</t>
    </r>
  </si>
  <si>
    <r>
      <rPr>
        <sz val="9"/>
        <rFont val="Times New Roman"/>
        <family val="1"/>
      </rPr>
      <t>4161УБҮ ТҮРЭЭС,МАРУУШ ЛХАГВАДОРЖ,ХААН ТӨ</t>
    </r>
  </si>
  <si>
    <r>
      <rPr>
        <sz val="9"/>
        <rFont val="Times New Roman"/>
        <family val="1"/>
      </rPr>
      <t>МАРУУШ ЛХАГВАДОРЖ</t>
    </r>
  </si>
  <si>
    <r>
      <rPr>
        <sz val="9"/>
        <rFont val="Times New Roman"/>
        <family val="1"/>
      </rPr>
      <t>MN290005005720619298</t>
    </r>
  </si>
  <si>
    <r>
      <rPr>
        <sz val="9"/>
        <rFont val="Times New Roman"/>
        <family val="1"/>
      </rPr>
      <t>АЛТАНГЭРЭЛ ЦАСЧИХЭР,СЭБҮ СТАДИ ТУР,ХААН ТӨВ БАНК</t>
    </r>
  </si>
  <si>
    <r>
      <rPr>
        <sz val="9"/>
        <rFont val="Times New Roman"/>
        <family val="1"/>
      </rPr>
      <t>СЭБҮ СТАДИ ТУР</t>
    </r>
  </si>
  <si>
    <r>
      <rPr>
        <sz val="9"/>
        <rFont val="Times New Roman"/>
        <family val="1"/>
      </rPr>
      <t>MN920005005431711327</t>
    </r>
  </si>
  <si>
    <r>
      <rPr>
        <sz val="9"/>
        <rFont val="Times New Roman"/>
        <family val="1"/>
      </rPr>
      <t>Charges for PORD Customer Payment :000449092553</t>
    </r>
  </si>
  <si>
    <r>
      <rPr>
        <sz val="9"/>
        <rFont val="Times New Roman"/>
        <family val="1"/>
      </rPr>
      <t>АЛТАНГЭРЭЛ БУДЖАВ</t>
    </r>
  </si>
  <si>
    <r>
      <rPr>
        <sz val="9"/>
        <rFont val="Times New Roman"/>
        <family val="1"/>
      </rPr>
      <t>Charges for PORD Customer Payment :000449093268</t>
    </r>
  </si>
  <si>
    <r>
      <rPr>
        <sz val="9"/>
        <rFont val="Times New Roman"/>
        <family val="1"/>
      </rPr>
      <t>PP TULSH 20 L ZURUU,АЛТАНГЭРЭЛ БУДЖАВ,ХА</t>
    </r>
  </si>
  <si>
    <r>
      <rPr>
        <sz val="9"/>
        <rFont val="Times New Roman"/>
        <family val="1"/>
      </rPr>
      <t>Б.ЭНХБАЯР, 88102299</t>
    </r>
  </si>
  <si>
    <r>
      <rPr>
        <sz val="9"/>
        <rFont val="Times New Roman"/>
        <family val="1"/>
      </rPr>
      <t>ОЧИР УНДРАА ОМЗ ББСБ</t>
    </r>
  </si>
  <si>
    <r>
      <rPr>
        <sz val="9"/>
        <rFont val="Times New Roman"/>
        <family val="1"/>
      </rPr>
      <t>Гүйлгээний  шимтгэл</t>
    </r>
  </si>
  <si>
    <r>
      <rPr>
        <sz val="9"/>
        <rFont val="Times New Roman"/>
        <family val="1"/>
      </rPr>
      <t>Charges for PORD Customer Payment :000449364984</t>
    </r>
  </si>
  <si>
    <r>
      <rPr>
        <sz val="9"/>
        <rFont val="Times New Roman"/>
        <family val="1"/>
      </rPr>
      <t>Charges for PORD Customer Payment :000450129391</t>
    </r>
  </si>
  <si>
    <r>
      <rPr>
        <sz val="9"/>
        <rFont val="Times New Roman"/>
        <family val="1"/>
      </rPr>
      <t>ЭНХБАТ ЭРХЭС</t>
    </r>
  </si>
  <si>
    <r>
      <rPr>
        <sz val="9"/>
        <rFont val="Times New Roman"/>
        <family val="1"/>
      </rPr>
      <t>TSAGILGAAN ZASVAR 3 TEHBIK,ЭНХБАТ ЭРХЭС,</t>
    </r>
  </si>
  <si>
    <r>
      <rPr>
        <sz val="9"/>
        <rFont val="Times New Roman"/>
        <family val="1"/>
      </rPr>
      <t>Charges for PORD Customer Payment :000450263017</t>
    </r>
  </si>
  <si>
    <r>
      <rPr>
        <sz val="9"/>
        <rFont val="Times New Roman"/>
        <family val="1"/>
      </rPr>
      <t>ОДБААТАР ОДГЭРЭЛ</t>
    </r>
  </si>
  <si>
    <r>
      <rPr>
        <sz val="9"/>
        <rFont val="Times New Roman"/>
        <family val="1"/>
      </rPr>
      <t>TSAGIIN BURTGEL,ОДБААТАР ОДГЭРЭЛ,ХААН ТӨ</t>
    </r>
  </si>
  <si>
    <r>
      <rPr>
        <sz val="9"/>
        <rFont val="Times New Roman"/>
        <family val="1"/>
      </rPr>
      <t>Charges for PORD Customer Payment :000450283266</t>
    </r>
  </si>
  <si>
    <r>
      <rPr>
        <sz val="9"/>
        <rFont val="Times New Roman"/>
        <family val="1"/>
      </rPr>
      <t>ПИРАМИДПРОГРЕСС</t>
    </r>
  </si>
  <si>
    <r>
      <rPr>
        <sz val="9"/>
        <rFont val="Times New Roman"/>
        <family val="1"/>
      </rPr>
      <t>Charges for PORD Customer Payment :000450283415</t>
    </r>
  </si>
  <si>
    <r>
      <rPr>
        <sz val="9"/>
        <rFont val="Times New Roman"/>
        <family val="1"/>
      </rPr>
      <t>Charges for PORD Customer Payment :000450283719</t>
    </r>
  </si>
  <si>
    <r>
      <rPr>
        <sz val="9"/>
        <rFont val="Times New Roman"/>
        <family val="1"/>
      </rPr>
      <t>Charges for PORD Customer Payment :000450314756</t>
    </r>
  </si>
  <si>
    <r>
      <rPr>
        <sz val="9"/>
        <rFont val="Times New Roman"/>
        <family val="1"/>
      </rPr>
      <t>Charges for PORD Customer Payment :000450315422</t>
    </r>
  </si>
  <si>
    <r>
      <rPr>
        <sz val="9"/>
        <rFont val="Times New Roman"/>
        <family val="1"/>
      </rPr>
      <t>Charges for PORD Customer Payment :000450656537</t>
    </r>
  </si>
  <si>
    <r>
      <rPr>
        <sz val="9"/>
        <rFont val="Times New Roman"/>
        <family val="1"/>
      </rPr>
      <t>ДОРЖСҮРЭН БАЯРБАТ</t>
    </r>
  </si>
  <si>
    <r>
      <rPr>
        <sz val="9"/>
        <rFont val="Times New Roman"/>
        <family val="1"/>
      </rPr>
      <t>Charges for PORD Customer Payment :000450671766</t>
    </r>
  </si>
  <si>
    <r>
      <rPr>
        <sz val="9"/>
        <rFont val="Times New Roman"/>
        <family val="1"/>
      </rPr>
      <t>НЭРГҮЙ ХУЯГБААТАР</t>
    </r>
  </si>
  <si>
    <r>
      <rPr>
        <sz val="9"/>
        <rFont val="Times New Roman"/>
        <family val="1"/>
      </rPr>
      <t>DUGUI ZASVAR,НЭРГҮЙ ХУЯГБААТАР,ХААН ТӨВ</t>
    </r>
  </si>
  <si>
    <r>
      <rPr>
        <sz val="9"/>
        <rFont val="Times New Roman"/>
        <family val="1"/>
      </rPr>
      <t>Charges for PORD Customer Payment :000450703037</t>
    </r>
  </si>
  <si>
    <r>
      <rPr>
        <sz val="9"/>
        <rFont val="Times New Roman"/>
        <family val="1"/>
      </rPr>
      <t>БААСАНХҮҮ ЦОГГЭРЭЛ</t>
    </r>
  </si>
  <si>
    <r>
      <rPr>
        <sz val="9"/>
        <rFont val="Times New Roman"/>
        <family val="1"/>
      </rPr>
      <t>MAHNI UNE,БААСАНХҮҮ ЦОГГЭРЭЛ,ХААН ТӨВ БА</t>
    </r>
  </si>
  <si>
    <r>
      <rPr>
        <sz val="9"/>
        <rFont val="Times New Roman"/>
        <family val="1"/>
      </rPr>
      <t>Charges for PORD Customer Payment :000450712336</t>
    </r>
  </si>
  <si>
    <r>
      <rPr>
        <sz val="9"/>
        <rFont val="Times New Roman"/>
        <family val="1"/>
      </rPr>
      <t>НХ87112810 Б.МӨНХБАЯР УТАС 88101131,ОЧИР</t>
    </r>
  </si>
  <si>
    <r>
      <rPr>
        <sz val="9"/>
        <rFont val="Times New Roman"/>
        <family val="1"/>
      </rPr>
      <t>Charges for PORD Customer Payment :000450713638</t>
    </r>
  </si>
  <si>
    <r>
      <rPr>
        <sz val="9"/>
        <rFont val="Times New Roman"/>
        <family val="1"/>
      </rPr>
      <t>БУЛЛ КАПИТАЛ ББСБ</t>
    </r>
  </si>
  <si>
    <r>
      <rPr>
        <sz val="9"/>
        <rFont val="Times New Roman"/>
        <family val="1"/>
      </rPr>
      <t>УВ76060235 Н.ЭРДЭНЭСҮХ УТАС 9910462 5,БУ</t>
    </r>
  </si>
  <si>
    <r>
      <rPr>
        <sz val="9"/>
        <rFont val="Times New Roman"/>
        <family val="1"/>
      </rPr>
      <t>Charges for PORD Customer Payment :000450820509</t>
    </r>
  </si>
  <si>
    <r>
      <rPr>
        <sz val="9"/>
        <rFont val="Times New Roman"/>
        <family val="1"/>
      </rPr>
      <t>ЭРДЭНЭЧИМЭГ СОДГЭРЭЛ</t>
    </r>
  </si>
  <si>
    <r>
      <rPr>
        <sz val="9"/>
        <rFont val="Times New Roman"/>
        <family val="1"/>
      </rPr>
      <t>Charges for PORD Customer Payment :000450821953</t>
    </r>
  </si>
  <si>
    <r>
      <rPr>
        <sz val="9"/>
        <rFont val="Times New Roman"/>
        <family val="1"/>
      </rPr>
      <t>ХОЛООХ БАТНЯМ</t>
    </r>
  </si>
  <si>
    <r>
      <rPr>
        <sz val="9"/>
        <rFont val="Times New Roman"/>
        <family val="1"/>
      </rPr>
      <t>Charges for PORD Customer Payment :000450824044</t>
    </r>
  </si>
  <si>
    <r>
      <rPr>
        <sz val="9"/>
        <rFont val="Times New Roman"/>
        <family val="1"/>
      </rPr>
      <t>АРИУНБОЛД БАТСУУРЬ</t>
    </r>
  </si>
  <si>
    <r>
      <rPr>
        <sz val="9"/>
        <rFont val="Times New Roman"/>
        <family val="1"/>
      </rPr>
      <t>Charges for PORD Customer Payment :000450824578</t>
    </r>
  </si>
  <si>
    <r>
      <rPr>
        <sz val="9"/>
        <rFont val="Times New Roman"/>
        <family val="1"/>
      </rPr>
      <t>СҮРЭНЖАВ МӨНХЦЭЦЭГ</t>
    </r>
  </si>
  <si>
    <r>
      <rPr>
        <sz val="9"/>
        <rFont val="Times New Roman"/>
        <family val="1"/>
      </rPr>
      <t>Charges for PORD Customer Payment :000450825696</t>
    </r>
  </si>
  <si>
    <r>
      <rPr>
        <sz val="9"/>
        <rFont val="Times New Roman"/>
        <family val="1"/>
      </rPr>
      <t>БАТТОГТОХ ДОВЧИН</t>
    </r>
  </si>
  <si>
    <r>
      <rPr>
        <sz val="9"/>
        <rFont val="Times New Roman"/>
        <family val="1"/>
      </rPr>
      <t>Charges for PORD Customer Payment :000450826367</t>
    </r>
  </si>
  <si>
    <r>
      <rPr>
        <sz val="9"/>
        <rFont val="Times New Roman"/>
        <family val="1"/>
      </rPr>
      <t>ЛХААЖАВ ДАРИНЧУЛУУН</t>
    </r>
  </si>
  <si>
    <r>
      <rPr>
        <sz val="9"/>
        <rFont val="Times New Roman"/>
        <family val="1"/>
      </rPr>
      <t>Charges for PORD Customer Payment :000450828079</t>
    </r>
  </si>
  <si>
    <r>
      <rPr>
        <sz val="9"/>
        <rFont val="Times New Roman"/>
        <family val="1"/>
      </rPr>
      <t>ХУДАЙ ТӨМӨРХУЯГ</t>
    </r>
  </si>
  <si>
    <r>
      <rPr>
        <sz val="9"/>
        <rFont val="Times New Roman"/>
        <family val="1"/>
      </rPr>
      <t>Charges for PORD Customer Payment :000450828665</t>
    </r>
  </si>
  <si>
    <r>
      <rPr>
        <sz val="9"/>
        <rFont val="Times New Roman"/>
        <family val="1"/>
      </rPr>
      <t>ҮРЧГЭР ТӨМӨРБААТАР</t>
    </r>
  </si>
  <si>
    <r>
      <rPr>
        <sz val="9"/>
        <rFont val="Times New Roman"/>
        <family val="1"/>
      </rPr>
      <t>Charges for PORD Customer Payment :000450829169</t>
    </r>
  </si>
  <si>
    <r>
      <rPr>
        <sz val="9"/>
        <rFont val="Times New Roman"/>
        <family val="1"/>
      </rPr>
      <t>ГЭРЭЛМАА МЯГМАРСҮРЭН</t>
    </r>
  </si>
  <si>
    <r>
      <rPr>
        <sz val="9"/>
        <rFont val="Times New Roman"/>
        <family val="1"/>
      </rPr>
      <t>Charges for PORD Customer Payment :000450831662</t>
    </r>
  </si>
  <si>
    <r>
      <rPr>
        <sz val="9"/>
        <rFont val="Times New Roman"/>
        <family val="1"/>
      </rPr>
      <t>АЛТАНТУЯА ДӨЛГӨӨН</t>
    </r>
  </si>
  <si>
    <r>
      <rPr>
        <sz val="9"/>
        <rFont val="Times New Roman"/>
        <family val="1"/>
      </rPr>
      <t>Charges for PORD Customer Payment :000450835280</t>
    </r>
  </si>
  <si>
    <r>
      <rPr>
        <sz val="9"/>
        <rFont val="Times New Roman"/>
        <family val="1"/>
      </rPr>
      <t>МӨНХЖАРГАЛ УГТАХБАЯР</t>
    </r>
  </si>
  <si>
    <r>
      <rPr>
        <sz val="9"/>
        <rFont val="Times New Roman"/>
        <family val="1"/>
      </rPr>
      <t>Charges for PORD Customer Payment :000451006949</t>
    </r>
  </si>
  <si>
    <r>
      <rPr>
        <sz val="9"/>
        <rFont val="Times New Roman"/>
        <family val="1"/>
      </rPr>
      <t>Charges for PORD Customer Payment :000451078628</t>
    </r>
  </si>
  <si>
    <r>
      <rPr>
        <sz val="9"/>
        <rFont val="Times New Roman"/>
        <family val="1"/>
      </rPr>
      <t>ӨСӨХ ИДЭР ИРЭЭДҮЙ</t>
    </r>
  </si>
  <si>
    <r>
      <rPr>
        <sz val="9"/>
        <rFont val="Times New Roman"/>
        <family val="1"/>
      </rPr>
      <t>Charges for PORD Customer Payment :000451885696</t>
    </r>
  </si>
  <si>
    <r>
      <rPr>
        <sz val="9"/>
        <rFont val="Times New Roman"/>
        <family val="1"/>
      </rPr>
      <t>ХӨЛСЭР ХХК</t>
    </r>
  </si>
  <si>
    <r>
      <rPr>
        <sz val="9"/>
        <rFont val="Times New Roman"/>
        <family val="1"/>
      </rPr>
      <t>Charges for PORD Customer Payment :000452050853</t>
    </r>
  </si>
  <si>
    <r>
      <rPr>
        <sz val="9"/>
        <rFont val="Times New Roman"/>
        <family val="1"/>
      </rPr>
      <t>САМДАН АЛТАНГЭРЭЛ</t>
    </r>
  </si>
  <si>
    <r>
      <rPr>
        <sz val="9"/>
        <rFont val="Times New Roman"/>
        <family val="1"/>
      </rPr>
      <t>KOVSH SELBEG,САМДАН АЛТАНГЭРЭЛ,ХААН ТӨВ</t>
    </r>
  </si>
  <si>
    <r>
      <rPr>
        <sz val="9"/>
        <rFont val="Times New Roman"/>
        <family val="1"/>
      </rPr>
      <t>Charges for PORD Customer Payment :000452058432</t>
    </r>
  </si>
  <si>
    <r>
      <rPr>
        <sz val="9"/>
        <rFont val="Times New Roman"/>
        <family val="1"/>
      </rPr>
      <t>Charges for PORD Customer Payment :000452140229</t>
    </r>
  </si>
  <si>
    <r>
      <rPr>
        <sz val="9"/>
        <rFont val="Times New Roman"/>
        <family val="1"/>
      </rPr>
      <t>ЖИГНҮҮР,СҮРЭНЖАВ МӨНХЦЭЦЭГ,ХААН ТӨВ БАНК</t>
    </r>
  </si>
  <si>
    <r>
      <rPr>
        <sz val="9"/>
        <rFont val="Times New Roman"/>
        <family val="1"/>
      </rPr>
      <t>Charges for PORD Customer Payment :000452337671</t>
    </r>
  </si>
  <si>
    <r>
      <rPr>
        <sz val="9"/>
        <rFont val="Times New Roman"/>
        <family val="1"/>
      </rPr>
      <t>ХУР ДЭЛГЭРЭХ ОЧИР</t>
    </r>
  </si>
  <si>
    <r>
      <rPr>
        <sz val="9"/>
        <rFont val="Times New Roman"/>
        <family val="1"/>
      </rPr>
      <t>88101131,ХУР ДЭЛГЭРЭХ ОЧИР,ХААН ТӨВ БАНК</t>
    </r>
  </si>
  <si>
    <r>
      <rPr>
        <sz val="9"/>
        <rFont val="Times New Roman"/>
        <family val="1"/>
      </rPr>
      <t>Charges for PORD Customer Payment :000452376258</t>
    </r>
  </si>
  <si>
    <r>
      <rPr>
        <sz val="9"/>
        <rFont val="Times New Roman"/>
        <family val="1"/>
      </rPr>
      <t>БОЛОРЖАРГАЛ БАЯР</t>
    </r>
  </si>
  <si>
    <r>
      <rPr>
        <sz val="9"/>
        <rFont val="Times New Roman"/>
        <family val="1"/>
      </rPr>
      <t>АЖЛЫН ХУВЦАС ПП,БОЛОРЖАРГАЛ БАЯР,ХАС БАН</t>
    </r>
  </si>
  <si>
    <r>
      <rPr>
        <sz val="9"/>
        <rFont val="Times New Roman"/>
        <family val="1"/>
      </rPr>
      <t>Charges for PORD Customer Payment :000452442669</t>
    </r>
  </si>
  <si>
    <r>
      <rPr>
        <sz val="9"/>
        <rFont val="Times New Roman"/>
        <family val="1"/>
      </rPr>
      <t>НАРАНТУЯА САМААН</t>
    </r>
  </si>
  <si>
    <r>
      <rPr>
        <sz val="9"/>
        <rFont val="Times New Roman"/>
        <family val="1"/>
      </rPr>
      <t>10,5 SAYIIN HUU,НАРАНТУЯА САМААН,ТӨРИЙН</t>
    </r>
  </si>
  <si>
    <r>
      <rPr>
        <sz val="9"/>
        <rFont val="Times New Roman"/>
        <family val="1"/>
      </rPr>
      <t>Charges for PORD Customer Payment :000452474988</t>
    </r>
  </si>
  <si>
    <r>
      <rPr>
        <sz val="9"/>
        <rFont val="Times New Roman"/>
        <family val="1"/>
      </rPr>
      <t>БАЯСГАЛАН ШИНЭХҮҮ</t>
    </r>
  </si>
  <si>
    <r>
      <rPr>
        <sz val="9"/>
        <rFont val="Times New Roman"/>
        <family val="1"/>
      </rPr>
      <t>BOOR HIIH,БАЯСГАЛАН ШИНЭХҮҮ,ХААН ТӨВ БАН</t>
    </r>
  </si>
  <si>
    <r>
      <rPr>
        <sz val="9"/>
        <rFont val="Times New Roman"/>
        <family val="1"/>
      </rPr>
      <t>Charges for PORD Customer Payment :000452760404</t>
    </r>
  </si>
  <si>
    <r>
      <rPr>
        <sz val="9"/>
        <rFont val="Times New Roman"/>
        <family val="1"/>
      </rPr>
      <t>ДАШДОРЖ ЭНХМАНДАХ</t>
    </r>
  </si>
  <si>
    <r>
      <rPr>
        <sz val="9"/>
        <rFont val="Times New Roman"/>
        <family val="1"/>
      </rPr>
      <t>Charges for PORD Customer Payment :000453442631</t>
    </r>
  </si>
  <si>
    <r>
      <rPr>
        <sz val="9"/>
        <rFont val="Times New Roman"/>
        <family val="1"/>
      </rPr>
      <t>DARALT SHALANK,БАЛХУР,ХААН ТӨВ БАНК</t>
    </r>
  </si>
  <si>
    <r>
      <rPr>
        <sz val="9"/>
        <rFont val="Times New Roman"/>
        <family val="1"/>
      </rPr>
      <t>Charges for PORD Customer Payment :000453574568</t>
    </r>
  </si>
  <si>
    <r>
      <rPr>
        <sz val="9"/>
        <rFont val="Times New Roman"/>
        <family val="1"/>
      </rPr>
      <t>ХОЛООХ БАТДОРЖ</t>
    </r>
  </si>
  <si>
    <t>KAMER BICHIGCH,ХОЛООХ БАТДОРЖ,ХААН ТӨВ Б</t>
  </si>
  <si>
    <r>
      <rPr>
        <sz val="9"/>
        <rFont val="Times New Roman"/>
        <family val="1"/>
      </rPr>
      <t>Charges for PORD Customer Payment :000454240858</t>
    </r>
  </si>
  <si>
    <r>
      <rPr>
        <sz val="9"/>
        <rFont val="Times New Roman"/>
        <family val="1"/>
      </rPr>
      <t>ТЭНҮҮН ӨЛЗИЙ МЕТАЛЛ</t>
    </r>
  </si>
  <si>
    <r>
      <rPr>
        <sz val="9"/>
        <rFont val="Times New Roman"/>
        <family val="1"/>
      </rPr>
      <t>Charges for PORD Customer Payment :000454276064</t>
    </r>
  </si>
  <si>
    <r>
      <rPr>
        <sz val="9"/>
        <rFont val="Times New Roman"/>
        <family val="1"/>
      </rPr>
      <t>БАТТУЛГА САРАНЧИМЭГ</t>
    </r>
  </si>
  <si>
    <r>
      <rPr>
        <sz val="9"/>
        <rFont val="Times New Roman"/>
        <family val="1"/>
      </rPr>
      <t>TSONHNII UNE,БАТТУЛГА САРАНЧИМЭГ,ХААН ТӨ</t>
    </r>
  </si>
  <si>
    <r>
      <rPr>
        <sz val="9"/>
        <rFont val="Times New Roman"/>
        <family val="1"/>
      </rPr>
      <t>Charges for PORD Customer Payment :000454309808</t>
    </r>
  </si>
  <si>
    <r>
      <rPr>
        <sz val="9"/>
        <rFont val="Times New Roman"/>
        <family val="1"/>
      </rPr>
      <t>УРГАХ ЭРДЭМ ХӨГЖИЛ</t>
    </r>
  </si>
  <si>
    <r>
      <rPr>
        <sz val="9"/>
        <rFont val="Times New Roman"/>
        <family val="1"/>
      </rPr>
      <t>Charges for PORD Customer Payment :000454312958</t>
    </r>
  </si>
  <si>
    <r>
      <rPr>
        <sz val="9"/>
        <rFont val="Times New Roman"/>
        <family val="1"/>
      </rPr>
      <t>ДАШЗЭВЭГ ОЮУНГЭРЭЛ</t>
    </r>
  </si>
  <si>
    <r>
      <rPr>
        <sz val="9"/>
        <rFont val="Times New Roman"/>
        <family val="1"/>
      </rPr>
      <t>BARAA MAT UNE,ДАШЗЭВЭГ ОЮУНГЭРЭЛ,ХААН ТӨ</t>
    </r>
  </si>
  <si>
    <r>
      <rPr>
        <sz val="9"/>
        <rFont val="Times New Roman"/>
        <family val="1"/>
      </rPr>
      <t>Charges for PORD Customer Payment :000454340540</t>
    </r>
  </si>
  <si>
    <r>
      <rPr>
        <sz val="9"/>
        <rFont val="Times New Roman"/>
        <family val="1"/>
      </rPr>
      <t>Charges for PORD Customer Payment :000454341354</t>
    </r>
  </si>
  <si>
    <r>
      <rPr>
        <sz val="9"/>
        <rFont val="Times New Roman"/>
        <family val="1"/>
      </rPr>
      <t>БАТ-ЭРДЭНЭ ОСОРЖАМАА</t>
    </r>
  </si>
  <si>
    <r>
      <rPr>
        <sz val="9"/>
        <rFont val="Times New Roman"/>
        <family val="1"/>
      </rPr>
      <t>BANZ,БАТ-ЭРДЭНЭ ОСОРЖАМАА,ХААН ТӨВ БАНК</t>
    </r>
  </si>
  <si>
    <r>
      <rPr>
        <sz val="9"/>
        <rFont val="Times New Roman"/>
        <family val="1"/>
      </rPr>
      <t>Charges for PORD Customer Payment :000454400488</t>
    </r>
  </si>
  <si>
    <r>
      <rPr>
        <sz val="9"/>
        <rFont val="Times New Roman"/>
        <family val="1"/>
      </rPr>
      <t>KAMER HARD SOLISON,ХОЛООХ БАТДОРЖ,ХААН Т</t>
    </r>
  </si>
  <si>
    <r>
      <rPr>
        <sz val="9"/>
        <rFont val="Times New Roman"/>
        <family val="1"/>
      </rPr>
      <t>Charges for PORD Customer Payment :000454401016</t>
    </r>
  </si>
  <si>
    <r>
      <rPr>
        <sz val="9"/>
        <rFont val="Times New Roman"/>
        <family val="1"/>
      </rPr>
      <t>SELBEGNII UNE 22.0,XXX CAINA,ХААН ТӨВ БА</t>
    </r>
  </si>
  <si>
    <r>
      <rPr>
        <sz val="9"/>
        <rFont val="Times New Roman"/>
        <family val="1"/>
      </rPr>
      <t>Charges for PORD Customer Payment :000454402468</t>
    </r>
  </si>
  <si>
    <r>
      <rPr>
        <sz val="9"/>
        <rFont val="Times New Roman"/>
        <family val="1"/>
      </rPr>
      <t>СБД НДГ</t>
    </r>
  </si>
  <si>
    <r>
      <rPr>
        <sz val="9"/>
        <rFont val="Times New Roman"/>
        <family val="1"/>
      </rPr>
      <t>RD5553199 ND,СБД НДГ,ХААН ТӨВ БАНК</t>
    </r>
  </si>
  <si>
    <r>
      <rPr>
        <sz val="9"/>
        <rFont val="Times New Roman"/>
        <family val="1"/>
      </rPr>
      <t>Charges for PORD Customer Payment :000454403742</t>
    </r>
  </si>
  <si>
    <r>
      <rPr>
        <sz val="9"/>
        <rFont val="Times New Roman"/>
        <family val="1"/>
      </rPr>
      <t>ДОКТОРГЕНРИ</t>
    </r>
  </si>
  <si>
    <r>
      <rPr>
        <sz val="9"/>
        <rFont val="Times New Roman"/>
        <family val="1"/>
      </rPr>
      <t>Charges for PORD Customer Payment :000454410865</t>
    </r>
  </si>
  <si>
    <r>
      <rPr>
        <sz val="9"/>
        <rFont val="Times New Roman"/>
        <family val="1"/>
      </rPr>
      <t>Charges for PORD Customer Payment :000454734434</t>
    </r>
  </si>
  <si>
    <r>
      <rPr>
        <sz val="9"/>
        <rFont val="Times New Roman"/>
        <family val="1"/>
      </rPr>
      <t>10 САЯЫН ХҮҮ ТӨЛӨВ,ДЭМБЭРЭЛСҮРЭН ЭРДЭНЭЦ</t>
    </r>
  </si>
  <si>
    <t xml:space="preserve"> </t>
  </si>
  <si>
    <r>
      <rPr>
        <sz val="9"/>
        <rFont val="Times New Roman"/>
        <family val="1"/>
      </rPr>
      <t>Charges for PORD Customer Payment :000454755557</t>
    </r>
  </si>
  <si>
    <r>
      <rPr>
        <sz val="9"/>
        <rFont val="Times New Roman"/>
        <family val="1"/>
      </rPr>
      <t>БЯМБАХОРОЛ МӨНХБАЯР</t>
    </r>
  </si>
  <si>
    <r>
      <rPr>
        <sz val="9"/>
        <rFont val="Times New Roman"/>
        <family val="1"/>
      </rPr>
      <t>SHATAHUUN,БЯМБАХОРОЛ МӨНХБАЯР,ХААН ТӨВ Б</t>
    </r>
  </si>
  <si>
    <r>
      <rPr>
        <sz val="9"/>
        <rFont val="Times New Roman"/>
        <family val="1"/>
      </rPr>
      <t>Charges for PORD Customer Payment :000454757364</t>
    </r>
  </si>
  <si>
    <r>
      <rPr>
        <sz val="9"/>
        <rFont val="Times New Roman"/>
        <family val="1"/>
      </rPr>
      <t>САЙНСАНААТ ТӨРБАТ</t>
    </r>
  </si>
  <si>
    <r>
      <rPr>
        <sz val="9"/>
        <rFont val="Times New Roman"/>
        <family val="1"/>
      </rPr>
      <t>BARAA,САЙНСАНААТ ТӨРБАТ,ХААН ТӨВ БАНК</t>
    </r>
  </si>
  <si>
    <r>
      <rPr>
        <sz val="9"/>
        <rFont val="Times New Roman"/>
        <family val="1"/>
      </rPr>
      <t>Charges for PORD Customer Payment :000454824699</t>
    </r>
  </si>
  <si>
    <r>
      <rPr>
        <sz val="9"/>
        <rFont val="Times New Roman"/>
        <family val="1"/>
      </rPr>
      <t>MASHIN UGAALGA  GAZ,НУРМАА ЭРДЭНЭСҮХ,ХАА</t>
    </r>
  </si>
  <si>
    <r>
      <rPr>
        <sz val="9"/>
        <rFont val="Times New Roman"/>
        <family val="1"/>
      </rPr>
      <t>Charges for PORD Customer Payment :000455642500</t>
    </r>
  </si>
  <si>
    <r>
      <rPr>
        <sz val="9"/>
        <rFont val="Times New Roman"/>
        <family val="1"/>
      </rPr>
      <t>ЗОДОВ ЦЭНДХҮҮ</t>
    </r>
  </si>
  <si>
    <r>
      <rPr>
        <sz val="9"/>
        <rFont val="Times New Roman"/>
        <family val="1"/>
      </rPr>
      <t>АЧААНЫ ТӨЛБӨР 99104625,ЗОДОВ ЦЭНДХҮҮ,ХАА</t>
    </r>
  </si>
  <si>
    <r>
      <rPr>
        <sz val="9"/>
        <rFont val="Times New Roman"/>
        <family val="1"/>
      </rPr>
      <t>Charges for PORD Customer Payment :000455654535</t>
    </r>
  </si>
  <si>
    <r>
      <rPr>
        <sz val="9"/>
        <rFont val="Times New Roman"/>
        <family val="1"/>
      </rPr>
      <t>MUUJIG SHATAHUUNI ZURUU BELEN UGUB,ДЭМБЭ</t>
    </r>
  </si>
  <si>
    <r>
      <rPr>
        <sz val="9"/>
        <rFont val="Times New Roman"/>
        <family val="1"/>
      </rPr>
      <t>Charges for PORD Customer Payment :000455873411</t>
    </r>
  </si>
  <si>
    <r>
      <rPr>
        <sz val="9"/>
        <rFont val="Times New Roman"/>
        <family val="1"/>
      </rPr>
      <t>Charges for PORD Customer Payment :000455892001</t>
    </r>
  </si>
  <si>
    <r>
      <rPr>
        <sz val="9"/>
        <rFont val="Times New Roman"/>
        <family val="1"/>
      </rPr>
      <t>ДОНЁД СУВД</t>
    </r>
  </si>
  <si>
    <r>
      <rPr>
        <sz val="9"/>
        <rFont val="Times New Roman"/>
        <family val="1"/>
      </rPr>
      <t>Charges for PORD Customer Payment :000456397659</t>
    </r>
  </si>
  <si>
    <r>
      <rPr>
        <sz val="9"/>
        <rFont val="Times New Roman"/>
        <family val="1"/>
      </rPr>
      <t>Charges for PORD Customer Payment :000456598003</t>
    </r>
  </si>
  <si>
    <r>
      <rPr>
        <sz val="9"/>
        <rFont val="Times New Roman"/>
        <family val="1"/>
      </rPr>
      <t>5899508,ХХҮЕГАЗАР,Төрийн сан</t>
    </r>
  </si>
  <si>
    <r>
      <rPr>
        <sz val="9"/>
        <rFont val="Times New Roman"/>
        <family val="1"/>
      </rPr>
      <t>Charges for PORD Customer Payment :000456732111</t>
    </r>
  </si>
  <si>
    <r>
      <rPr>
        <sz val="9"/>
        <rFont val="Times New Roman"/>
        <family val="1"/>
      </rPr>
      <t>ТӨМӨРБААТАР ҮРЧГЭР</t>
    </r>
  </si>
  <si>
    <r>
      <rPr>
        <sz val="9"/>
        <rFont val="Times New Roman"/>
        <family val="1"/>
      </rPr>
      <t>DUGUI MUUJIG,ТӨМӨРБААТАР ҮРЧГЭР,ХААН ТӨВ</t>
    </r>
  </si>
  <si>
    <r>
      <rPr>
        <sz val="9"/>
        <rFont val="Times New Roman"/>
        <family val="1"/>
      </rPr>
      <t>Charges for PORD Customer Payment :000456862371</t>
    </r>
  </si>
  <si>
    <r>
      <rPr>
        <sz val="9"/>
        <rFont val="Times New Roman"/>
        <family val="1"/>
      </rPr>
      <t>ДАМДИНСҮРЭН БОЛД</t>
    </r>
  </si>
  <si>
    <r>
      <rPr>
        <sz val="9"/>
        <rFont val="Times New Roman"/>
        <family val="1"/>
      </rPr>
      <t>Charges for PORD Customer Payment :000457748125</t>
    </r>
  </si>
  <si>
    <r>
      <rPr>
        <sz val="9"/>
        <rFont val="Times New Roman"/>
        <family val="1"/>
      </rPr>
      <t>HUNSNII MATERIAL,МААМ УРАНЧИМЭГ,ХААН ТӨВ</t>
    </r>
  </si>
  <si>
    <r>
      <rPr>
        <sz val="9"/>
        <rFont val="Times New Roman"/>
        <family val="1"/>
      </rPr>
      <t>Charges for PORD Customer Payment :000457754041</t>
    </r>
  </si>
  <si>
    <r>
      <rPr>
        <sz val="9"/>
        <rFont val="Times New Roman"/>
        <family val="1"/>
      </rPr>
      <t>Charges for PORD Customer Payment :000457760647</t>
    </r>
  </si>
  <si>
    <r>
      <rPr>
        <sz val="9"/>
        <rFont val="Times New Roman"/>
        <family val="1"/>
      </rPr>
      <t>САНЖ ЦЭРЭНХАНД</t>
    </r>
  </si>
  <si>
    <r>
      <rPr>
        <sz val="9"/>
        <rFont val="Times New Roman"/>
        <family val="1"/>
      </rPr>
      <t>Charges for PORD Customer Payment :000457775624</t>
    </r>
  </si>
  <si>
    <r>
      <rPr>
        <sz val="9"/>
        <rFont val="Times New Roman"/>
        <family val="1"/>
      </rPr>
      <t>ЖАРГАЛСАЙХАН МӨНХТЭМҮҮЛЭН</t>
    </r>
  </si>
  <si>
    <r>
      <rPr>
        <sz val="9"/>
        <rFont val="Times New Roman"/>
        <family val="1"/>
      </rPr>
      <t>Charges for PORD Customer Payment :000457794816</t>
    </r>
  </si>
  <si>
    <r>
      <rPr>
        <sz val="9"/>
        <rFont val="Times New Roman"/>
        <family val="1"/>
      </rPr>
      <t>СЭРГЭЛЭН МӨНХЖАРГАЛ</t>
    </r>
  </si>
  <si>
    <r>
      <rPr>
        <sz val="9"/>
        <rFont val="Times New Roman"/>
        <family val="1"/>
      </rPr>
      <t>50896537 МОРИНДАВАА ДАЙРГА</t>
    </r>
  </si>
  <si>
    <r>
      <rPr>
        <sz val="9"/>
        <rFont val="Times New Roman"/>
        <family val="1"/>
      </rPr>
      <t>Charges for PORD Customer Payment :000459002026</t>
    </r>
  </si>
  <si>
    <r>
      <rPr>
        <sz val="9"/>
        <rFont val="Times New Roman"/>
        <family val="1"/>
      </rPr>
      <t>SHAT 150, EM 28,6 TAMHI 69,5,БЯМБАХОРОЛ</t>
    </r>
  </si>
  <si>
    <r>
      <rPr>
        <sz val="9"/>
        <rFont val="Times New Roman"/>
        <family val="1"/>
      </rPr>
      <t>Charges for PORD Customer Payment :000459135112</t>
    </r>
  </si>
  <si>
    <r>
      <rPr>
        <sz val="9"/>
        <rFont val="Times New Roman"/>
        <family val="1"/>
      </rPr>
      <t>НЯМСҮРЭН МӨНХДАЛАЙ</t>
    </r>
  </si>
  <si>
    <r>
      <rPr>
        <sz val="9"/>
        <rFont val="Times New Roman"/>
        <family val="1"/>
      </rPr>
      <t>4 COMPANY TATAN BUULGAH ZARIIN TULBUR 99006366</t>
    </r>
  </si>
  <si>
    <r>
      <rPr>
        <sz val="9"/>
        <rFont val="Times New Roman"/>
        <family val="1"/>
      </rPr>
      <t>ӨДРИЙН МЭДЭЭ ХХК</t>
    </r>
  </si>
  <si>
    <r>
      <rPr>
        <sz val="9"/>
        <rFont val="Times New Roman"/>
        <family val="1"/>
      </rPr>
      <t>Charges for PORD Customer Payment :000459409942</t>
    </r>
  </si>
  <si>
    <r>
      <rPr>
        <sz val="9"/>
        <rFont val="Times New Roman"/>
        <family val="1"/>
      </rPr>
      <t>БАРИЛГА АРХИТЕКТУР КОРПОРАЦИ</t>
    </r>
  </si>
  <si>
    <r>
      <rPr>
        <sz val="9"/>
        <rFont val="Times New Roman"/>
        <family val="1"/>
      </rPr>
      <t>Charges for PORD Customer Payment :000459491968</t>
    </r>
  </si>
  <si>
    <r>
      <rPr>
        <sz val="9"/>
        <rFont val="Times New Roman"/>
        <family val="1"/>
      </rPr>
      <t>ИЧИНХОРЛОО ДОРЖХАНД</t>
    </r>
  </si>
  <si>
    <r>
      <rPr>
        <sz val="9"/>
        <rFont val="Times New Roman"/>
        <family val="1"/>
      </rPr>
      <t>MDD,ИЧИНХОРЛОО ДОРЖХАНД,ХААН ТӨВ БАНК</t>
    </r>
  </si>
  <si>
    <r>
      <rPr>
        <sz val="9"/>
        <rFont val="Times New Roman"/>
        <family val="1"/>
      </rPr>
      <t>Charges for PORD Customer Payment :000459509662</t>
    </r>
  </si>
  <si>
    <r>
      <rPr>
        <sz val="9"/>
        <rFont val="Times New Roman"/>
        <family val="1"/>
      </rPr>
      <t>ЭРХЭМБААТАР НЯМ-ОЧИР</t>
    </r>
  </si>
  <si>
    <r>
      <rPr>
        <sz val="9"/>
        <rFont val="Times New Roman"/>
        <family val="1"/>
      </rPr>
      <t>HIAM OGURTSI,ЭРХЭМБААТАР НЯМ-ОЧИР,ХААН Т</t>
    </r>
    <r>
      <rPr>
        <sz val="9"/>
        <color rgb="FF000000"/>
        <rFont val="Times New Roman"/>
        <family val="1"/>
      </rPr>
      <t xml:space="preserve"> ПП шалгалтын хүмүүст </t>
    </r>
  </si>
  <si>
    <r>
      <rPr>
        <sz val="9"/>
        <rFont val="Times New Roman"/>
        <family val="1"/>
      </rPr>
      <t>HIAM OGURTSI,ЭРХЭМБААТАР НЯМ-ОЧИР,ХААН Т</t>
    </r>
  </si>
  <si>
    <r>
      <rPr>
        <sz val="9"/>
        <rFont val="Times New Roman"/>
        <family val="1"/>
      </rPr>
      <t>Charges for PORD Customer Payment :000459922444</t>
    </r>
  </si>
  <si>
    <r>
      <rPr>
        <sz val="9"/>
        <rFont val="Times New Roman"/>
        <family val="1"/>
      </rPr>
      <t>МКЛ ХХК</t>
    </r>
  </si>
  <si>
    <r>
      <rPr>
        <sz val="9"/>
        <rFont val="Times New Roman"/>
        <family val="1"/>
      </rPr>
      <t>Charges for PORD Customer Payment :000459987215</t>
    </r>
  </si>
  <si>
    <r>
      <rPr>
        <sz val="9"/>
        <rFont val="Times New Roman"/>
        <family val="1"/>
      </rPr>
      <t>Charges for PORD Customer Payment :000460004464</t>
    </r>
  </si>
  <si>
    <r>
      <rPr>
        <sz val="9"/>
        <rFont val="Times New Roman"/>
        <family val="1"/>
      </rPr>
      <t>ХООСДОКТОР</t>
    </r>
  </si>
  <si>
    <r>
      <rPr>
        <sz val="9"/>
        <rFont val="Times New Roman"/>
        <family val="1"/>
      </rPr>
      <t>Charges for PORD Customer Payment :000460436837</t>
    </r>
  </si>
  <si>
    <r>
      <rPr>
        <sz val="9"/>
        <rFont val="Times New Roman"/>
        <family val="1"/>
      </rPr>
      <t>SHATAHUUN,НУРМАА ЭРДЭНЭСҮХ,ХААН ТӨВ БАНК</t>
    </r>
  </si>
  <si>
    <r>
      <rPr>
        <sz val="9"/>
        <rFont val="Times New Roman"/>
        <family val="1"/>
      </rPr>
      <t>Charges for PORD Customer Payment :000460459192</t>
    </r>
  </si>
  <si>
    <r>
      <rPr>
        <sz val="9"/>
        <rFont val="Times New Roman"/>
        <family val="1"/>
      </rPr>
      <t>ЖИГМЭДСЭНГЭ МИЖИДДОРЖ</t>
    </r>
  </si>
  <si>
    <r>
      <rPr>
        <sz val="9"/>
        <rFont val="Times New Roman"/>
        <family val="1"/>
      </rPr>
      <t>HASHAA BARIH URIDCHILGAA,ЖИГМЭДСЭНГЭ МИЖ</t>
    </r>
  </si>
  <si>
    <r>
      <rPr>
        <sz val="9"/>
        <rFont val="Times New Roman"/>
        <family val="1"/>
      </rPr>
      <t>Charges for PORD Customer Payment :000460797321</t>
    </r>
  </si>
  <si>
    <r>
      <rPr>
        <sz val="9"/>
        <rFont val="Times New Roman"/>
        <family val="1"/>
      </rPr>
      <t>ДОРЖ ДАМДИННАВАГ</t>
    </r>
  </si>
  <si>
    <r>
      <rPr>
        <sz val="9"/>
        <rFont val="Times New Roman"/>
        <family val="1"/>
      </rPr>
      <t>Charges for PORD Customer Payment :000461465308</t>
    </r>
  </si>
  <si>
    <r>
      <rPr>
        <sz val="9"/>
        <rFont val="Times New Roman"/>
        <family val="1"/>
      </rPr>
      <t>БААТАР ЭНХЖАРГАЛ</t>
    </r>
  </si>
  <si>
    <r>
      <rPr>
        <sz val="9"/>
        <rFont val="Times New Roman"/>
        <family val="1"/>
      </rPr>
      <t>МДД КАДАСТР ЦЭГҮҮД ТАВИУЛАХ,БААТАР ЭНХЖА</t>
    </r>
  </si>
  <si>
    <r>
      <rPr>
        <sz val="9"/>
        <rFont val="Times New Roman"/>
        <family val="1"/>
      </rPr>
      <t>Charges for PORD Customer Payment :000461782681</t>
    </r>
  </si>
  <si>
    <r>
      <rPr>
        <sz val="9"/>
        <rFont val="Times New Roman"/>
        <family val="1"/>
      </rPr>
      <t>TAMHI,НУРМАА ЭРДЭНЭСҮХ,ХААН ТӨВ БАНК</t>
    </r>
  </si>
  <si>
    <t>2025-07-27</t>
  </si>
  <si>
    <t>2025-07-28</t>
  </si>
  <si>
    <t>2025-08-17</t>
  </si>
  <si>
    <t>2025-10-14</t>
  </si>
  <si>
    <t>ПОС</t>
  </si>
  <si>
    <t>даринчулуун</t>
  </si>
  <si>
    <t>2025-10-13</t>
  </si>
  <si>
    <t>доржханд</t>
  </si>
  <si>
    <t>ИБАРИМТ</t>
  </si>
  <si>
    <t>2025-10-11</t>
  </si>
  <si>
    <t>Иххайрхан мандал</t>
  </si>
  <si>
    <t>2639866</t>
  </si>
  <si>
    <t>2025-10-09</t>
  </si>
  <si>
    <t>2025-10-08</t>
  </si>
  <si>
    <t>эрдэнэсүх</t>
  </si>
  <si>
    <t>2025-10-07</t>
  </si>
  <si>
    <t>Зуунмод гол</t>
  </si>
  <si>
    <t>2054302</t>
  </si>
  <si>
    <t>2025-10-06</t>
  </si>
  <si>
    <t>ДОРЖСҮРЭН СУВД</t>
  </si>
  <si>
    <t>ЙЮ70120362</t>
  </si>
  <si>
    <t>2025-10-05</t>
  </si>
  <si>
    <t>энхбаяр</t>
  </si>
  <si>
    <t>2025-10-04</t>
  </si>
  <si>
    <t>БАТСУУРЬ АРИУНБОЛД</t>
  </si>
  <si>
    <t>НХ77101111</t>
  </si>
  <si>
    <t>ХОЛООХ БАТНЯМ</t>
  </si>
  <si>
    <t>НХ73010218</t>
  </si>
  <si>
    <t>Даян майнинг машинэри</t>
  </si>
  <si>
    <t>6913806</t>
  </si>
  <si>
    <t>2025-10-02</t>
  </si>
  <si>
    <t>2025-10-01</t>
  </si>
  <si>
    <t>Бест стандарт сервис</t>
  </si>
  <si>
    <t>5718694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</si>
</sst>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3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i/>
      <sz val="28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9"/>
      <color rgb="FF000000"/>
      <name val="Arial"/>
      <family val="2"/>
    </font>
    <font>
      <sz val="9"/>
      <color rgb="FFFF0000"/>
      <name val="Arial"/>
      <family val="2"/>
    </font>
    <font>
      <sz val="10"/>
      <color rgb="FFFF0000"/>
      <name val="Calibri"/>
      <family val="2"/>
      <scheme val="minor"/>
    </font>
    <font>
      <sz val="9"/>
      <color rgb="FFFF0000"/>
      <name val="Times New Roman"/>
      <family val="1"/>
    </font>
    <font>
      <sz val="9"/>
      <color rgb="FF000000"/>
      <name val="Times New Roman"/>
      <family val="1"/>
    </font>
    <font>
      <sz val="8"/>
      <color rgb="FF000000"/>
      <name val="SansSerif"/>
      <family val="2"/>
    </font>
    <font>
      <sz val="8"/>
      <name val="Calibri"/>
    </font>
    <font>
      <sz val="8"/>
      <color rgb="FFFF0000"/>
      <name val="SansSerif"/>
      <family val="2"/>
    </font>
    <font>
      <b/>
      <sz val="10"/>
      <color rgb="FF000000"/>
      <name val="SansSerif"/>
      <family val="2"/>
    </font>
    <font>
      <b/>
      <sz val="10"/>
      <name val="Calibri"/>
    </font>
    <font>
      <b/>
      <i/>
      <sz val="8"/>
      <color theme="1"/>
      <name val="Times New Roman"/>
      <family val="1"/>
    </font>
    <font>
      <sz val="8"/>
      <color rgb="FFFF0000"/>
      <name val="Times New Roman"/>
      <family val="1"/>
    </font>
    <font>
      <sz val="8"/>
      <color rgb="FF000000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sz val="8"/>
      <name val="Calibri"/>
      <family val="2"/>
      <scheme val="minor"/>
    </font>
    <font>
      <b/>
      <sz val="8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8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5" fillId="0" borderId="0" xfId="0" applyFont="1"/>
    <xf numFmtId="164" fontId="4" fillId="2" borderId="1" xfId="1" applyNumberFormat="1" applyFont="1" applyFill="1" applyBorder="1" applyAlignment="1">
      <alignment horizontal="center" vertical="center" wrapText="1"/>
    </xf>
    <xf numFmtId="9" fontId="2" fillId="0" borderId="1" xfId="2" applyFont="1" applyBorder="1" applyAlignment="1"/>
    <xf numFmtId="10" fontId="2" fillId="0" borderId="1" xfId="2" applyNumberFormat="1" applyFont="1" applyBorder="1" applyAlignment="1"/>
    <xf numFmtId="0" fontId="5" fillId="0" borderId="1" xfId="0" applyFont="1" applyBorder="1"/>
    <xf numFmtId="164" fontId="5" fillId="0" borderId="1" xfId="0" applyNumberFormat="1" applyFont="1" applyBorder="1"/>
    <xf numFmtId="0" fontId="2" fillId="0" borderId="1" xfId="2" applyNumberFormat="1" applyFont="1" applyBorder="1" applyAlignment="1"/>
    <xf numFmtId="165" fontId="0" fillId="0" borderId="0" xfId="1" applyNumberFormat="1" applyFont="1"/>
    <xf numFmtId="43" fontId="2" fillId="4" borderId="1" xfId="1" applyFont="1" applyFill="1" applyBorder="1" applyAlignment="1">
      <alignment horizontal="center" vertical="center" wrapText="1"/>
    </xf>
    <xf numFmtId="165" fontId="7" fillId="0" borderId="1" xfId="1" applyNumberFormat="1" applyFont="1" applyBorder="1"/>
    <xf numFmtId="165" fontId="7" fillId="0" borderId="0" xfId="1" applyNumberFormat="1" applyFont="1"/>
    <xf numFmtId="0" fontId="7" fillId="0" borderId="1" xfId="0" applyFont="1" applyBorder="1"/>
    <xf numFmtId="0" fontId="7" fillId="0" borderId="0" xfId="0" applyFont="1"/>
    <xf numFmtId="0" fontId="2" fillId="2" borderId="6" xfId="0" applyFont="1" applyFill="1" applyBorder="1" applyAlignment="1">
      <alignment horizontal="center" vertical="center" wrapText="1"/>
    </xf>
    <xf numFmtId="165" fontId="7" fillId="0" borderId="6" xfId="1" applyNumberFormat="1" applyFont="1" applyBorder="1"/>
    <xf numFmtId="43" fontId="2" fillId="4" borderId="6" xfId="1" applyFont="1" applyFill="1" applyBorder="1" applyAlignment="1">
      <alignment horizontal="center" vertical="center" wrapText="1"/>
    </xf>
    <xf numFmtId="0" fontId="7" fillId="0" borderId="6" xfId="0" applyFont="1" applyBorder="1"/>
    <xf numFmtId="0" fontId="2" fillId="2" borderId="7" xfId="3" applyFont="1" applyFill="1" applyBorder="1" applyAlignment="1">
      <alignment horizontal="center" vertical="center" wrapText="1"/>
    </xf>
    <xf numFmtId="164" fontId="2" fillId="2" borderId="8" xfId="1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8" xfId="3" applyFont="1" applyFill="1" applyBorder="1" applyAlignment="1">
      <alignment horizontal="center" vertical="center" wrapText="1"/>
    </xf>
    <xf numFmtId="43" fontId="2" fillId="2" borderId="8" xfId="1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64" fontId="6" fillId="3" borderId="10" xfId="1" applyNumberFormat="1" applyFont="1" applyFill="1" applyBorder="1" applyAlignment="1">
      <alignment horizontal="center" wrapText="1"/>
    </xf>
    <xf numFmtId="165" fontId="7" fillId="0" borderId="11" xfId="1" applyNumberFormat="1" applyFont="1" applyBorder="1"/>
    <xf numFmtId="0" fontId="6" fillId="3" borderId="10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43" fontId="2" fillId="4" borderId="11" xfId="1" applyFont="1" applyFill="1" applyBorder="1" applyAlignment="1">
      <alignment horizontal="center" vertical="center" wrapText="1"/>
    </xf>
    <xf numFmtId="0" fontId="7" fillId="0" borderId="11" xfId="0" applyFont="1" applyBorder="1"/>
    <xf numFmtId="0" fontId="2" fillId="4" borderId="12" xfId="0" applyFont="1" applyFill="1" applyBorder="1" applyAlignment="1">
      <alignment horizontal="center" vertical="center" wrapText="1"/>
    </xf>
    <xf numFmtId="43" fontId="2" fillId="4" borderId="13" xfId="1" applyFont="1" applyFill="1" applyBorder="1" applyAlignment="1">
      <alignment horizontal="center" vertical="center" wrapText="1"/>
    </xf>
    <xf numFmtId="43" fontId="2" fillId="4" borderId="14" xfId="1" applyFont="1" applyFill="1" applyBorder="1" applyAlignment="1">
      <alignment horizontal="center" vertical="center" wrapText="1"/>
    </xf>
    <xf numFmtId="0" fontId="9" fillId="0" borderId="0" xfId="0" applyFont="1"/>
    <xf numFmtId="164" fontId="2" fillId="0" borderId="1" xfId="2" applyNumberFormat="1" applyFont="1" applyBorder="1" applyAlignment="1"/>
    <xf numFmtId="43" fontId="9" fillId="0" borderId="0" xfId="1" applyFont="1"/>
    <xf numFmtId="0" fontId="10" fillId="2" borderId="1" xfId="3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horizontal="center" vertical="center" wrapText="1"/>
    </xf>
    <xf numFmtId="43" fontId="10" fillId="2" borderId="1" xfId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0" fontId="12" fillId="2" borderId="2" xfId="0" applyFont="1" applyFill="1" applyBorder="1" applyAlignment="1">
      <alignment vertical="center"/>
    </xf>
    <xf numFmtId="0" fontId="12" fillId="2" borderId="3" xfId="0" applyFont="1" applyFill="1" applyBorder="1" applyAlignment="1">
      <alignment vertical="center"/>
    </xf>
    <xf numFmtId="164" fontId="10" fillId="0" borderId="1" xfId="1" applyNumberFormat="1" applyFont="1" applyBorder="1" applyAlignment="1">
      <alignment horizontal="center" vertical="center" wrapText="1"/>
    </xf>
    <xf numFmtId="43" fontId="10" fillId="0" borderId="1" xfId="1" applyFont="1" applyBorder="1" applyAlignment="1">
      <alignment horizontal="center" vertical="center" wrapText="1"/>
    </xf>
    <xf numFmtId="0" fontId="12" fillId="2" borderId="4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164" fontId="12" fillId="2" borderId="1" xfId="1" applyNumberFormat="1" applyFont="1" applyFill="1" applyBorder="1" applyAlignment="1">
      <alignment horizontal="center" vertical="center" wrapText="1"/>
    </xf>
    <xf numFmtId="43" fontId="10" fillId="0" borderId="1" xfId="1" applyFont="1" applyBorder="1" applyAlignment="1"/>
    <xf numFmtId="9" fontId="10" fillId="0" borderId="1" xfId="2" applyFont="1" applyBorder="1" applyAlignment="1"/>
    <xf numFmtId="10" fontId="10" fillId="0" borderId="1" xfId="2" applyNumberFormat="1" applyFont="1" applyBorder="1" applyAlignment="1"/>
    <xf numFmtId="0" fontId="10" fillId="0" borderId="1" xfId="2" applyNumberFormat="1" applyFont="1" applyBorder="1" applyAlignment="1"/>
    <xf numFmtId="164" fontId="9" fillId="0" borderId="0" xfId="1" applyNumberFormat="1" applyFont="1"/>
    <xf numFmtId="0" fontId="2" fillId="0" borderId="0" xfId="0" applyFont="1" applyAlignment="1">
      <alignment horizontal="center" wrapText="1"/>
    </xf>
    <xf numFmtId="0" fontId="4" fillId="0" borderId="0" xfId="0" applyFont="1"/>
    <xf numFmtId="0" fontId="12" fillId="0" borderId="0" xfId="0" applyFont="1"/>
    <xf numFmtId="164" fontId="12" fillId="0" borderId="0" xfId="1" applyNumberFormat="1" applyFont="1"/>
    <xf numFmtId="164" fontId="12" fillId="0" borderId="1" xfId="1" applyNumberFormat="1" applyFont="1" applyBorder="1"/>
    <xf numFmtId="0" fontId="12" fillId="0" borderId="1" xfId="0" applyFont="1" applyBorder="1"/>
    <xf numFmtId="164" fontId="12" fillId="0" borderId="1" xfId="0" applyNumberFormat="1" applyFont="1" applyBorder="1"/>
    <xf numFmtId="0" fontId="13" fillId="0" borderId="0" xfId="0" applyFont="1"/>
    <xf numFmtId="43" fontId="12" fillId="0" borderId="0" xfId="1" applyFont="1"/>
    <xf numFmtId="43" fontId="12" fillId="0" borderId="0" xfId="0" applyNumberFormat="1" applyFont="1"/>
    <xf numFmtId="43" fontId="4" fillId="0" borderId="0" xfId="1" applyFont="1"/>
    <xf numFmtId="164" fontId="4" fillId="0" borderId="1" xfId="0" applyNumberFormat="1" applyFont="1" applyBorder="1"/>
    <xf numFmtId="0" fontId="14" fillId="0" borderId="0" xfId="0" applyFont="1"/>
    <xf numFmtId="0" fontId="14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3" fontId="17" fillId="0" borderId="0" xfId="0" applyNumberFormat="1" applyFont="1"/>
    <xf numFmtId="0" fontId="18" fillId="0" borderId="0" xfId="0" applyFont="1"/>
    <xf numFmtId="0" fontId="18" fillId="0" borderId="0" xfId="0" applyFont="1" applyAlignment="1">
      <alignment vertical="center" wrapText="1"/>
    </xf>
    <xf numFmtId="0" fontId="10" fillId="0" borderId="0" xfId="0" applyFont="1" applyAlignment="1">
      <alignment horizontal="center" wrapText="1"/>
    </xf>
    <xf numFmtId="164" fontId="12" fillId="0" borderId="0" xfId="0" applyNumberFormat="1" applyFont="1"/>
    <xf numFmtId="43" fontId="18" fillId="0" borderId="0" xfId="1" applyFont="1"/>
    <xf numFmtId="43" fontId="12" fillId="0" borderId="1" xfId="1" applyFont="1" applyBorder="1"/>
    <xf numFmtId="43" fontId="12" fillId="0" borderId="1" xfId="0" applyNumberFormat="1" applyFont="1" applyBorder="1"/>
    <xf numFmtId="0" fontId="13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43" fontId="0" fillId="0" borderId="1" xfId="1" applyFont="1" applyBorder="1"/>
    <xf numFmtId="0" fontId="9" fillId="0" borderId="1" xfId="0" applyFont="1" applyBorder="1"/>
    <xf numFmtId="164" fontId="9" fillId="0" borderId="1" xfId="1" applyNumberFormat="1" applyFont="1" applyBorder="1"/>
    <xf numFmtId="43" fontId="9" fillId="0" borderId="1" xfId="1" applyFont="1" applyBorder="1"/>
    <xf numFmtId="0" fontId="0" fillId="0" borderId="0" xfId="0" applyAlignment="1" applyProtection="1">
      <alignment wrapText="1"/>
      <protection locked="0"/>
    </xf>
    <xf numFmtId="0" fontId="19" fillId="0" borderId="17" xfId="0" applyFont="1" applyBorder="1" applyAlignment="1">
      <alignment horizontal="left" vertical="center" wrapText="1"/>
    </xf>
    <xf numFmtId="0" fontId="0" fillId="2" borderId="1" xfId="0" applyFill="1" applyBorder="1"/>
    <xf numFmtId="4" fontId="19" fillId="0" borderId="1" xfId="0" applyNumberFormat="1" applyFont="1" applyBorder="1" applyAlignment="1">
      <alignment horizontal="left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2" borderId="1" xfId="3" applyFont="1" applyFill="1" applyBorder="1" applyAlignment="1">
      <alignment horizontal="center" vertical="center" wrapText="1"/>
    </xf>
    <xf numFmtId="0" fontId="24" fillId="3" borderId="1" xfId="3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43" fontId="19" fillId="0" borderId="17" xfId="1" applyFont="1" applyBorder="1" applyAlignment="1">
      <alignment horizontal="left" vertical="center" wrapText="1"/>
    </xf>
    <xf numFmtId="43" fontId="21" fillId="0" borderId="17" xfId="1" applyFont="1" applyBorder="1" applyAlignment="1">
      <alignment horizontal="left" vertical="center" wrapText="1"/>
    </xf>
    <xf numFmtId="43" fontId="0" fillId="0" borderId="0" xfId="1" applyFont="1"/>
    <xf numFmtId="0" fontId="0" fillId="0" borderId="1" xfId="0" applyBorder="1" applyAlignment="1" applyProtection="1">
      <alignment wrapText="1"/>
      <protection locked="0"/>
    </xf>
    <xf numFmtId="0" fontId="12" fillId="0" borderId="18" xfId="0" applyFont="1" applyBorder="1"/>
    <xf numFmtId="0" fontId="19" fillId="0" borderId="1" xfId="0" applyFont="1" applyBorder="1" applyAlignment="1">
      <alignment horizontal="left" vertical="center" wrapText="1"/>
    </xf>
    <xf numFmtId="0" fontId="12" fillId="0" borderId="17" xfId="0" applyFont="1" applyBorder="1"/>
    <xf numFmtId="0" fontId="22" fillId="0" borderId="1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 wrapText="1"/>
    </xf>
    <xf numFmtId="43" fontId="12" fillId="0" borderId="17" xfId="1" applyFont="1" applyBorder="1"/>
    <xf numFmtId="43" fontId="19" fillId="0" borderId="1" xfId="1" applyFont="1" applyBorder="1" applyAlignment="1">
      <alignment horizontal="left" vertical="center" wrapText="1"/>
    </xf>
    <xf numFmtId="43" fontId="19" fillId="2" borderId="1" xfId="1" applyFont="1" applyFill="1" applyBorder="1" applyAlignment="1">
      <alignment horizontal="left" vertical="center" wrapText="1"/>
    </xf>
    <xf numFmtId="43" fontId="22" fillId="0" borderId="1" xfId="1" applyFont="1" applyBorder="1" applyAlignment="1">
      <alignment horizontal="center" vertical="center" wrapText="1"/>
    </xf>
    <xf numFmtId="43" fontId="21" fillId="0" borderId="1" xfId="1" applyFont="1" applyBorder="1" applyAlignment="1">
      <alignment horizontal="left" vertical="center" wrapText="1"/>
    </xf>
    <xf numFmtId="0" fontId="12" fillId="0" borderId="16" xfId="0" applyFont="1" applyBorder="1"/>
    <xf numFmtId="164" fontId="10" fillId="0" borderId="0" xfId="1" applyNumberFormat="1" applyFont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0" fontId="13" fillId="0" borderId="0" xfId="0" applyFont="1" applyAlignment="1" applyProtection="1">
      <alignment wrapText="1"/>
      <protection locked="0"/>
    </xf>
    <xf numFmtId="0" fontId="26" fillId="0" borderId="17" xfId="0" applyFont="1" applyBorder="1" applyAlignment="1">
      <alignment horizontal="left" vertical="center" wrapText="1"/>
    </xf>
    <xf numFmtId="43" fontId="26" fillId="0" borderId="17" xfId="1" applyFont="1" applyBorder="1" applyAlignment="1">
      <alignment horizontal="left" vertical="center" wrapText="1"/>
    </xf>
    <xf numFmtId="0" fontId="13" fillId="2" borderId="1" xfId="0" applyFont="1" applyFill="1" applyBorder="1"/>
    <xf numFmtId="4" fontId="26" fillId="0" borderId="1" xfId="0" applyNumberFormat="1" applyFont="1" applyBorder="1" applyAlignment="1">
      <alignment horizontal="left" vertical="center" wrapText="1"/>
    </xf>
    <xf numFmtId="0" fontId="27" fillId="0" borderId="17" xfId="0" applyFont="1" applyBorder="1" applyAlignment="1">
      <alignment horizontal="left" vertical="center" wrapText="1"/>
    </xf>
    <xf numFmtId="43" fontId="13" fillId="0" borderId="1" xfId="0" applyNumberFormat="1" applyFont="1" applyBorder="1"/>
    <xf numFmtId="0" fontId="13" fillId="0" borderId="1" xfId="0" applyFont="1" applyBorder="1" applyAlignment="1" applyProtection="1">
      <alignment wrapText="1"/>
      <protection locked="0"/>
    </xf>
    <xf numFmtId="0" fontId="26" fillId="0" borderId="1" xfId="0" applyFont="1" applyBorder="1" applyAlignment="1">
      <alignment horizontal="left" vertical="center" wrapText="1"/>
    </xf>
    <xf numFmtId="43" fontId="26" fillId="0" borderId="1" xfId="1" applyFont="1" applyBorder="1" applyAlignment="1">
      <alignment horizontal="left" vertical="center" wrapText="1"/>
    </xf>
    <xf numFmtId="0" fontId="27" fillId="2" borderId="1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 wrapText="1"/>
    </xf>
    <xf numFmtId="43" fontId="26" fillId="2" borderId="1" xfId="1" applyFont="1" applyFill="1" applyBorder="1" applyAlignment="1">
      <alignment horizontal="left" vertical="center" wrapText="1"/>
    </xf>
    <xf numFmtId="0" fontId="26" fillId="4" borderId="1" xfId="0" applyFont="1" applyFill="1" applyBorder="1" applyAlignment="1">
      <alignment horizontal="left" vertical="center" wrapText="1"/>
    </xf>
    <xf numFmtId="43" fontId="13" fillId="0" borderId="0" xfId="1" applyFont="1"/>
    <xf numFmtId="43" fontId="13" fillId="2" borderId="1" xfId="0" applyNumberFormat="1" applyFont="1" applyFill="1" applyBorder="1"/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43" fontId="2" fillId="0" borderId="1" xfId="1" applyFont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43" fontId="2" fillId="0" borderId="1" xfId="1" applyFont="1" applyBorder="1" applyAlignment="1"/>
    <xf numFmtId="0" fontId="4" fillId="0" borderId="1" xfId="0" applyFont="1" applyBorder="1"/>
    <xf numFmtId="43" fontId="4" fillId="0" borderId="1" xfId="0" applyNumberFormat="1" applyFont="1" applyBorder="1"/>
    <xf numFmtId="0" fontId="4" fillId="2" borderId="1" xfId="0" applyFont="1" applyFill="1" applyBorder="1"/>
    <xf numFmtId="4" fontId="18" fillId="0" borderId="1" xfId="0" applyNumberFormat="1" applyFont="1" applyBorder="1" applyAlignment="1">
      <alignment horizontal="left" vertical="center" wrapText="1"/>
    </xf>
    <xf numFmtId="43" fontId="4" fillId="0" borderId="1" xfId="1" applyFont="1" applyBorder="1"/>
    <xf numFmtId="0" fontId="18" fillId="0" borderId="1" xfId="0" applyFont="1" applyBorder="1" applyAlignment="1">
      <alignment horizontal="left" vertical="center" wrapText="1"/>
    </xf>
    <xf numFmtId="43" fontId="18" fillId="0" borderId="1" xfId="1" applyFont="1" applyBorder="1" applyAlignment="1">
      <alignment horizontal="left" vertical="center" wrapText="1"/>
    </xf>
    <xf numFmtId="0" fontId="2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 vertical="center" wrapText="1"/>
    </xf>
    <xf numFmtId="43" fontId="18" fillId="2" borderId="1" xfId="1" applyFont="1" applyFill="1" applyBorder="1" applyAlignment="1">
      <alignment horizontal="left" vertical="center" wrapText="1"/>
    </xf>
    <xf numFmtId="43" fontId="4" fillId="2" borderId="1" xfId="0" applyNumberFormat="1" applyFont="1" applyFill="1" applyBorder="1"/>
    <xf numFmtId="0" fontId="17" fillId="0" borderId="0" xfId="0" applyFont="1"/>
    <xf numFmtId="0" fontId="4" fillId="3" borderId="0" xfId="0" applyFont="1" applyFill="1"/>
    <xf numFmtId="164" fontId="4" fillId="0" borderId="0" xfId="1" applyNumberFormat="1" applyFont="1"/>
    <xf numFmtId="0" fontId="28" fillId="0" borderId="1" xfId="0" applyFont="1" applyBorder="1" applyAlignment="1">
      <alignment horizontal="left" vertical="center" wrapText="1"/>
    </xf>
    <xf numFmtId="0" fontId="12" fillId="0" borderId="2" xfId="0" applyFont="1" applyBorder="1"/>
    <xf numFmtId="0" fontId="12" fillId="0" borderId="4" xfId="0" applyFont="1" applyBorder="1"/>
    <xf numFmtId="0" fontId="12" fillId="0" borderId="3" xfId="0" applyFont="1" applyBorder="1"/>
    <xf numFmtId="0" fontId="12" fillId="0" borderId="5" xfId="0" applyFont="1" applyBorder="1"/>
    <xf numFmtId="14" fontId="18" fillId="0" borderId="1" xfId="0" applyNumberFormat="1" applyFont="1" applyBorder="1" applyAlignment="1">
      <alignment horizontal="left" vertical="center" wrapText="1"/>
    </xf>
    <xf numFmtId="0" fontId="12" fillId="2" borderId="0" xfId="0" applyFont="1" applyFill="1" applyAlignment="1">
      <alignment vertical="center"/>
    </xf>
    <xf numFmtId="0" fontId="12" fillId="2" borderId="19" xfId="0" applyFont="1" applyFill="1" applyBorder="1" applyAlignment="1">
      <alignment vertical="center"/>
    </xf>
    <xf numFmtId="164" fontId="12" fillId="2" borderId="15" xfId="1" applyNumberFormat="1" applyFont="1" applyFill="1" applyBorder="1" applyAlignment="1">
      <alignment horizontal="center" vertical="center" wrapText="1"/>
    </xf>
    <xf numFmtId="43" fontId="10" fillId="0" borderId="15" xfId="1" applyFont="1" applyBorder="1" applyAlignment="1"/>
    <xf numFmtId="9" fontId="10" fillId="0" borderId="15" xfId="2" applyFont="1" applyBorder="1" applyAlignment="1"/>
    <xf numFmtId="10" fontId="10" fillId="0" borderId="15" xfId="2" applyNumberFormat="1" applyFont="1" applyBorder="1" applyAlignment="1"/>
    <xf numFmtId="0" fontId="10" fillId="0" borderId="15" xfId="2" applyNumberFormat="1" applyFont="1" applyBorder="1" applyAlignment="1"/>
    <xf numFmtId="0" fontId="6" fillId="0" borderId="1" xfId="0" applyFont="1" applyBorder="1"/>
    <xf numFmtId="164" fontId="6" fillId="0" borderId="1" xfId="0" applyNumberFormat="1" applyFont="1" applyBorder="1"/>
    <xf numFmtId="164" fontId="30" fillId="0" borderId="1" xfId="1" applyNumberFormat="1" applyFont="1" applyBorder="1" applyAlignment="1">
      <alignment horizontal="center" vertical="center" wrapText="1"/>
    </xf>
    <xf numFmtId="43" fontId="6" fillId="0" borderId="1" xfId="0" applyNumberFormat="1" applyFont="1" applyBorder="1"/>
    <xf numFmtId="43" fontId="6" fillId="0" borderId="1" xfId="1" applyFont="1" applyBorder="1"/>
    <xf numFmtId="0" fontId="4" fillId="0" borderId="0" xfId="0" applyFont="1" applyAlignment="1">
      <alignment horizontal="right"/>
    </xf>
    <xf numFmtId="164" fontId="12" fillId="0" borderId="20" xfId="0" applyNumberFormat="1" applyFont="1" applyBorder="1"/>
    <xf numFmtId="164" fontId="10" fillId="0" borderId="20" xfId="1" applyNumberFormat="1" applyFont="1" applyBorder="1" applyAlignment="1">
      <alignment horizontal="center" vertical="center" wrapText="1"/>
    </xf>
    <xf numFmtId="43" fontId="0" fillId="0" borderId="0" xfId="0" applyNumberFormat="1"/>
    <xf numFmtId="164" fontId="10" fillId="0" borderId="1" xfId="2" applyNumberFormat="1" applyFont="1" applyBorder="1" applyAlignment="1"/>
    <xf numFmtId="43" fontId="0" fillId="0" borderId="1" xfId="0" applyNumberFormat="1" applyBorder="1"/>
    <xf numFmtId="43" fontId="9" fillId="0" borderId="1" xfId="0" applyNumberFormat="1" applyFont="1" applyBorder="1"/>
    <xf numFmtId="43" fontId="9" fillId="6" borderId="1" xfId="1" applyFont="1" applyFill="1" applyBorder="1"/>
    <xf numFmtId="0" fontId="9" fillId="2" borderId="1" xfId="0" applyFont="1" applyFill="1" applyBorder="1"/>
    <xf numFmtId="43" fontId="9" fillId="2" borderId="1" xfId="1" applyFont="1" applyFill="1" applyBorder="1"/>
    <xf numFmtId="0" fontId="8" fillId="5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B19"/>
  <sheetViews>
    <sheetView topLeftCell="A4" zoomScale="85" zoomScaleNormal="85" workbookViewId="0">
      <selection activeCell="O34" sqref="O34"/>
    </sheetView>
  </sheetViews>
  <sheetFormatPr defaultRowHeight="15.5"/>
  <cols>
    <col min="1" max="1" width="12.33203125" customWidth="1"/>
    <col min="2" max="2" width="12.83203125" bestFit="1" customWidth="1"/>
    <col min="3" max="3" width="15.08203125" bestFit="1" customWidth="1"/>
    <col min="4" max="4" width="14.83203125" bestFit="1" customWidth="1"/>
    <col min="5" max="5" width="7.58203125" bestFit="1" customWidth="1"/>
    <col min="6" max="6" width="14.33203125" bestFit="1" customWidth="1"/>
    <col min="7" max="7" width="12.83203125" bestFit="1" customWidth="1"/>
    <col min="8" max="8" width="14.08203125" bestFit="1" customWidth="1"/>
    <col min="9" max="9" width="15.25" customWidth="1"/>
    <col min="10" max="10" width="12.83203125" bestFit="1" customWidth="1"/>
    <col min="11" max="13" width="14.08203125" customWidth="1"/>
    <col min="14" max="14" width="14.08203125" bestFit="1" customWidth="1"/>
    <col min="15" max="15" width="13.25" bestFit="1" customWidth="1"/>
    <col min="16" max="24" width="9.08203125" bestFit="1" customWidth="1"/>
    <col min="25" max="25" width="11.08203125" bestFit="1" customWidth="1"/>
    <col min="26" max="26" width="15" customWidth="1"/>
    <col min="27" max="27" width="15.25" bestFit="1" customWidth="1"/>
  </cols>
  <sheetData>
    <row r="2" spans="1:28" ht="35.5">
      <c r="A2" s="183" t="s">
        <v>51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</row>
    <row r="4" spans="1:28" ht="16" thickBot="1"/>
    <row r="5" spans="1:28" s="5" customFormat="1" ht="46.5" customHeight="1">
      <c r="A5" s="24" t="s">
        <v>15</v>
      </c>
      <c r="B5" s="25" t="s">
        <v>2</v>
      </c>
      <c r="C5" s="25" t="s">
        <v>3</v>
      </c>
      <c r="D5" s="25" t="s">
        <v>4</v>
      </c>
      <c r="E5" s="26" t="s">
        <v>16</v>
      </c>
      <c r="F5" s="25" t="s">
        <v>3</v>
      </c>
      <c r="G5" s="27" t="s">
        <v>17</v>
      </c>
      <c r="H5" s="27" t="s">
        <v>62</v>
      </c>
      <c r="I5" s="27" t="s">
        <v>18</v>
      </c>
      <c r="J5" s="28" t="s">
        <v>19</v>
      </c>
      <c r="K5" s="27" t="s">
        <v>20</v>
      </c>
      <c r="L5" s="27" t="s">
        <v>21</v>
      </c>
      <c r="M5" s="27" t="s">
        <v>22</v>
      </c>
      <c r="N5" s="27" t="s">
        <v>23</v>
      </c>
      <c r="O5" s="26" t="s">
        <v>24</v>
      </c>
      <c r="P5" s="29" t="s">
        <v>25</v>
      </c>
      <c r="Q5" s="20" t="s">
        <v>26</v>
      </c>
      <c r="R5" s="1" t="s">
        <v>27</v>
      </c>
      <c r="S5" s="1" t="s">
        <v>28</v>
      </c>
      <c r="T5" s="1" t="s">
        <v>29</v>
      </c>
      <c r="U5" s="1" t="s">
        <v>30</v>
      </c>
      <c r="V5" s="1" t="s">
        <v>31</v>
      </c>
      <c r="W5" s="1" t="s">
        <v>32</v>
      </c>
      <c r="X5" s="1" t="s">
        <v>33</v>
      </c>
      <c r="Y5" s="1" t="s">
        <v>34</v>
      </c>
      <c r="Z5" s="1" t="s">
        <v>35</v>
      </c>
      <c r="AA5" s="1" t="s">
        <v>36</v>
      </c>
    </row>
    <row r="6" spans="1:28" s="17" customFormat="1" ht="10.5">
      <c r="A6" s="30" t="s">
        <v>38</v>
      </c>
      <c r="B6" s="16">
        <f>+'1'!D4</f>
        <v>0</v>
      </c>
      <c r="C6" s="16">
        <f>+'1'!E4</f>
        <v>12063668.700000001</v>
      </c>
      <c r="D6" s="16">
        <f>+'1'!F4</f>
        <v>12063668.700000001</v>
      </c>
      <c r="E6" s="16">
        <f>+'1'!G4</f>
        <v>0</v>
      </c>
      <c r="F6" s="16">
        <f>+'1'!H4</f>
        <v>12063668.700000001</v>
      </c>
      <c r="G6" s="16">
        <f>+'1'!I4</f>
        <v>4000</v>
      </c>
      <c r="H6" s="16">
        <f>+'1'!J4</f>
        <v>12059668.700000001</v>
      </c>
      <c r="I6" s="16">
        <f>+'1'!K4</f>
        <v>0</v>
      </c>
      <c r="J6" s="16">
        <f>+'1'!L4</f>
        <v>0</v>
      </c>
      <c r="K6" s="16">
        <f>+'1'!M4</f>
        <v>0</v>
      </c>
      <c r="L6" s="16">
        <f>+'1'!N4</f>
        <v>0</v>
      </c>
      <c r="M6" s="16">
        <f>+'1'!O4</f>
        <v>0</v>
      </c>
      <c r="N6" s="16">
        <f>+'1'!P4</f>
        <v>0</v>
      </c>
      <c r="O6" s="16">
        <f>+'1'!Q4</f>
        <v>0</v>
      </c>
      <c r="P6" s="31">
        <f>+'1'!R4</f>
        <v>0</v>
      </c>
      <c r="Q6" s="21">
        <f>+'1'!S4</f>
        <v>0</v>
      </c>
      <c r="R6" s="16">
        <f>+'1'!T4</f>
        <v>0</v>
      </c>
      <c r="S6" s="16">
        <f>+'1'!U4</f>
        <v>0</v>
      </c>
      <c r="T6" s="16">
        <f>+'1'!V4</f>
        <v>0</v>
      </c>
      <c r="U6" s="16">
        <f>+'1'!W4</f>
        <v>0</v>
      </c>
      <c r="V6" s="16">
        <f>+'1'!X4</f>
        <v>0</v>
      </c>
      <c r="W6" s="16">
        <f>+'1'!Y4</f>
        <v>0</v>
      </c>
      <c r="X6" s="16">
        <f>+'1'!Z4</f>
        <v>0</v>
      </c>
      <c r="Y6" s="16">
        <f>+'1'!AA4</f>
        <v>0</v>
      </c>
      <c r="Z6" s="16">
        <f>+'1'!AB4</f>
        <v>12063668.700000001</v>
      </c>
      <c r="AA6" s="16">
        <f>+'1'!AC4</f>
        <v>0</v>
      </c>
    </row>
    <row r="7" spans="1:28" s="17" customFormat="1" ht="10.5">
      <c r="A7" s="32" t="s">
        <v>39</v>
      </c>
      <c r="B7" s="16">
        <f>+'2'!D4</f>
        <v>9281.82</v>
      </c>
      <c r="C7" s="16">
        <f>+'2'!E4</f>
        <v>12091231.959999999</v>
      </c>
      <c r="D7" s="16">
        <f>+'2'!F4</f>
        <v>12081950.140000001</v>
      </c>
      <c r="E7" s="16">
        <f>+'2'!G4</f>
        <v>0</v>
      </c>
      <c r="F7" s="16">
        <f>+'2'!H4</f>
        <v>12081950.139999999</v>
      </c>
      <c r="G7" s="16">
        <f>+'2'!I4</f>
        <v>96818.18</v>
      </c>
      <c r="H7" s="16">
        <f>+'2'!J4</f>
        <v>11985131.959999999</v>
      </c>
      <c r="I7" s="16">
        <f>+'2'!K4</f>
        <v>0</v>
      </c>
      <c r="J7" s="16">
        <f>+'2'!L4</f>
        <v>0</v>
      </c>
      <c r="K7" s="16">
        <f>+'2'!M4</f>
        <v>0</v>
      </c>
      <c r="L7" s="16">
        <f>+'2'!N4</f>
        <v>0</v>
      </c>
      <c r="M7" s="16">
        <f>+'2'!O4</f>
        <v>0</v>
      </c>
      <c r="N7" s="16">
        <f>+'2'!P4</f>
        <v>0</v>
      </c>
      <c r="O7" s="16">
        <f>+'2'!Q4</f>
        <v>0</v>
      </c>
      <c r="P7" s="31">
        <f>+'2'!R4</f>
        <v>0</v>
      </c>
      <c r="Q7" s="21">
        <f>+'2'!S4</f>
        <v>0</v>
      </c>
      <c r="R7" s="16">
        <f>+'2'!T4</f>
        <v>0</v>
      </c>
      <c r="S7" s="16">
        <f>+'2'!U4</f>
        <v>0</v>
      </c>
      <c r="T7" s="16">
        <f>+'2'!V4</f>
        <v>0</v>
      </c>
      <c r="U7" s="16">
        <f>+'2'!W4</f>
        <v>0</v>
      </c>
      <c r="V7" s="16">
        <f>+'2'!X4</f>
        <v>0</v>
      </c>
      <c r="W7" s="16">
        <f>+'2'!Y4</f>
        <v>0</v>
      </c>
      <c r="X7" s="16">
        <f>+'2'!Z4</f>
        <v>0</v>
      </c>
      <c r="Y7" s="16">
        <f>+'2'!AA4</f>
        <v>0</v>
      </c>
      <c r="Z7" s="16">
        <f>+'2'!AB4</f>
        <v>12081950.139999999</v>
      </c>
      <c r="AA7" s="16">
        <f>+'2'!AC4</f>
        <v>0</v>
      </c>
    </row>
    <row r="8" spans="1:28" s="17" customFormat="1" ht="10.5">
      <c r="A8" s="32" t="s">
        <v>40</v>
      </c>
      <c r="B8" s="16">
        <f>+'3'!D4</f>
        <v>12909.086363999999</v>
      </c>
      <c r="C8" s="16">
        <f>+'3'!E4</f>
        <v>10750322.530000001</v>
      </c>
      <c r="D8" s="16">
        <f>+'3'!F4</f>
        <v>10737413.443636</v>
      </c>
      <c r="E8" s="16">
        <f>+'3'!G4</f>
        <v>0</v>
      </c>
      <c r="F8" s="16">
        <f>+'3'!H4</f>
        <v>10737413.443636002</v>
      </c>
      <c r="G8" s="16">
        <f>+'3'!I4</f>
        <v>132090.91363600001</v>
      </c>
      <c r="H8" s="16">
        <f>+'3'!J4</f>
        <v>10605322.530000001</v>
      </c>
      <c r="I8" s="16">
        <f>+'3'!K4</f>
        <v>0</v>
      </c>
      <c r="J8" s="16">
        <f>+'3'!L4</f>
        <v>0</v>
      </c>
      <c r="K8" s="16">
        <f>+'3'!M4</f>
        <v>0</v>
      </c>
      <c r="L8" s="16">
        <f>+'3'!N4</f>
        <v>0</v>
      </c>
      <c r="M8" s="16">
        <f>+'3'!O4</f>
        <v>0</v>
      </c>
      <c r="N8" s="16">
        <f>+'3'!P4</f>
        <v>0</v>
      </c>
      <c r="O8" s="16">
        <f>+'3'!Q4</f>
        <v>0</v>
      </c>
      <c r="P8" s="31">
        <f>+'3'!R4</f>
        <v>0</v>
      </c>
      <c r="Q8" s="21">
        <f>+'3'!S4</f>
        <v>0</v>
      </c>
      <c r="R8" s="16">
        <f>+'3'!T4</f>
        <v>0</v>
      </c>
      <c r="S8" s="16">
        <f>+'3'!U4</f>
        <v>0</v>
      </c>
      <c r="T8" s="16">
        <f>+'3'!V4</f>
        <v>0</v>
      </c>
      <c r="U8" s="16">
        <f>+'3'!W4</f>
        <v>0</v>
      </c>
      <c r="V8" s="16">
        <f>+'3'!X4</f>
        <v>0</v>
      </c>
      <c r="W8" s="16">
        <f>+'3'!Y4</f>
        <v>0</v>
      </c>
      <c r="X8" s="16">
        <f>+'3'!Z4</f>
        <v>0</v>
      </c>
      <c r="Y8" s="16">
        <f>+'3'!AA4</f>
        <v>0</v>
      </c>
      <c r="Z8" s="16">
        <f>+'3'!AB4</f>
        <v>10737413.443636002</v>
      </c>
      <c r="AA8" s="16">
        <f>+'3'!AC4</f>
        <v>0</v>
      </c>
    </row>
    <row r="9" spans="1:28" s="17" customFormat="1" ht="10.5">
      <c r="A9" s="32" t="s">
        <v>41</v>
      </c>
      <c r="B9" s="16">
        <f>+'4'!D4</f>
        <v>13181.82</v>
      </c>
      <c r="C9" s="16">
        <f>+'4'!E4</f>
        <v>9599257.4100000001</v>
      </c>
      <c r="D9" s="16">
        <f>+'4'!F4</f>
        <v>9586075.5899999999</v>
      </c>
      <c r="E9" s="16">
        <f>+'4'!G4</f>
        <v>0</v>
      </c>
      <c r="F9" s="16">
        <f>+'4'!H4</f>
        <v>9586075.5899999999</v>
      </c>
      <c r="G9" s="16">
        <f>+'4'!I4</f>
        <v>136818.18</v>
      </c>
      <c r="H9" s="16">
        <f>+'4'!J4</f>
        <v>9449257.4100000001</v>
      </c>
      <c r="I9" s="16">
        <f>+'4'!K4</f>
        <v>0</v>
      </c>
      <c r="J9" s="16">
        <f>+'4'!L4</f>
        <v>0</v>
      </c>
      <c r="K9" s="16">
        <f>+'4'!M4</f>
        <v>0</v>
      </c>
      <c r="L9" s="16">
        <f>+'4'!N4</f>
        <v>0</v>
      </c>
      <c r="M9" s="16">
        <f>+'4'!O4</f>
        <v>0</v>
      </c>
      <c r="N9" s="16">
        <f>+'4'!P4</f>
        <v>0</v>
      </c>
      <c r="O9" s="16">
        <f>+'4'!Q4</f>
        <v>0</v>
      </c>
      <c r="P9" s="31">
        <f>+'4'!R4</f>
        <v>0</v>
      </c>
      <c r="Q9" s="21">
        <f>+'4'!S4</f>
        <v>0</v>
      </c>
      <c r="R9" s="16">
        <f>+'4'!T4</f>
        <v>0</v>
      </c>
      <c r="S9" s="16">
        <f>+'4'!U4</f>
        <v>0</v>
      </c>
      <c r="T9" s="16">
        <f>+'4'!V4</f>
        <v>0</v>
      </c>
      <c r="U9" s="16">
        <f>+'4'!W4</f>
        <v>0</v>
      </c>
      <c r="V9" s="16">
        <f>+'4'!X4</f>
        <v>0</v>
      </c>
      <c r="W9" s="16">
        <f>+'4'!Y4</f>
        <v>0</v>
      </c>
      <c r="X9" s="16">
        <f>+'4'!Z4</f>
        <v>0</v>
      </c>
      <c r="Y9" s="16">
        <f>+'4'!AA4</f>
        <v>0</v>
      </c>
      <c r="Z9" s="16">
        <f>+'4'!AB4</f>
        <v>9586075.5899999999</v>
      </c>
      <c r="AA9" s="16">
        <f>+'4'!AC4</f>
        <v>0</v>
      </c>
      <c r="AB9" s="16">
        <f>+'4'!AD4</f>
        <v>0</v>
      </c>
    </row>
    <row r="10" spans="1:28" s="17" customFormat="1" ht="10.5">
      <c r="A10" s="32" t="s">
        <v>42</v>
      </c>
      <c r="B10" s="16">
        <f>+'5'!D4</f>
        <v>1410487.4722089998</v>
      </c>
      <c r="C10" s="16">
        <f>+'5'!E4</f>
        <v>29303280.120000001</v>
      </c>
      <c r="D10" s="16">
        <f>+'5'!F4</f>
        <v>27892792.647790998</v>
      </c>
      <c r="E10" s="16">
        <f>+'5'!G4</f>
        <v>0</v>
      </c>
      <c r="F10" s="16">
        <f>+'5'!H4</f>
        <v>27892792.647790998</v>
      </c>
      <c r="G10" s="16">
        <f>+'5'!I4</f>
        <v>4190350.5568819996</v>
      </c>
      <c r="H10" s="16">
        <f>+'5'!J4</f>
        <v>12985423.120000001</v>
      </c>
      <c r="I10" s="16">
        <f>+'5'!K4</f>
        <v>1070672.553636</v>
      </c>
      <c r="J10" s="16">
        <f>+'5'!L4</f>
        <v>0</v>
      </c>
      <c r="K10" s="16">
        <f>+'5'!M4</f>
        <v>330863.63636400003</v>
      </c>
      <c r="L10" s="16">
        <f>+'5'!N4</f>
        <v>8363410.7109089997</v>
      </c>
      <c r="M10" s="16">
        <f>+'5'!O4</f>
        <v>952072.07000000007</v>
      </c>
      <c r="N10" s="16">
        <f>+'5'!P4</f>
        <v>0</v>
      </c>
      <c r="O10" s="16">
        <f>+'5'!Q4</f>
        <v>0</v>
      </c>
      <c r="P10" s="31">
        <f>+'5'!R4</f>
        <v>0</v>
      </c>
      <c r="Q10" s="21">
        <f>+'5'!S4</f>
        <v>0</v>
      </c>
      <c r="R10" s="16">
        <f>+'5'!T4</f>
        <v>0</v>
      </c>
      <c r="S10" s="16">
        <f>+'5'!U4</f>
        <v>0</v>
      </c>
      <c r="T10" s="16">
        <f>+'5'!V4</f>
        <v>0</v>
      </c>
      <c r="U10" s="16">
        <f>+'5'!W4</f>
        <v>0</v>
      </c>
      <c r="V10" s="16">
        <f>+'5'!X4</f>
        <v>0</v>
      </c>
      <c r="W10" s="16">
        <f>+'5'!Y4</f>
        <v>0</v>
      </c>
      <c r="X10" s="16">
        <f>+'5'!Z4</f>
        <v>0</v>
      </c>
      <c r="Y10" s="16">
        <f>+'5'!AA4</f>
        <v>0</v>
      </c>
      <c r="Z10" s="16">
        <f>+'5'!AB4</f>
        <v>27892792.647790998</v>
      </c>
      <c r="AA10" s="16">
        <f>+'5'!AC4</f>
        <v>0</v>
      </c>
    </row>
    <row r="11" spans="1:28" s="17" customFormat="1" ht="10.5">
      <c r="A11" s="32" t="s">
        <v>43</v>
      </c>
      <c r="B11" s="16">
        <f>+'6'!D4</f>
        <v>547910.70844099997</v>
      </c>
      <c r="C11" s="16">
        <f>+'6'!E4</f>
        <v>18916331.619999997</v>
      </c>
      <c r="D11" s="16">
        <f>+'6'!F4</f>
        <v>18368420.911559004</v>
      </c>
      <c r="E11" s="16">
        <f>+'6'!G4</f>
        <v>0</v>
      </c>
      <c r="F11" s="16">
        <f>+'6'!H4</f>
        <v>18368420.911559001</v>
      </c>
      <c r="G11" s="16">
        <f>+'6'!I4</f>
        <v>1384888.2951950002</v>
      </c>
      <c r="H11" s="16">
        <f>+'6'!J4</f>
        <v>11037835.619999999</v>
      </c>
      <c r="I11" s="16">
        <f>+'6'!K4</f>
        <v>1309382.42</v>
      </c>
      <c r="J11" s="16">
        <f>+'6'!L4</f>
        <v>0</v>
      </c>
      <c r="K11" s="16">
        <f>+'6'!M4</f>
        <v>414309.09090900002</v>
      </c>
      <c r="L11" s="16">
        <f>+'6'!N4</f>
        <v>220000</v>
      </c>
      <c r="M11" s="16">
        <f>+'6'!O4</f>
        <v>0</v>
      </c>
      <c r="N11" s="16">
        <f>+'6'!P4</f>
        <v>1353641.8454549999</v>
      </c>
      <c r="O11" s="16">
        <f>+'6'!Q4</f>
        <v>2648363.64</v>
      </c>
      <c r="P11" s="16">
        <f>+'6'!R4</f>
        <v>0</v>
      </c>
      <c r="Q11" s="16">
        <f>+'6'!S4</f>
        <v>0</v>
      </c>
      <c r="R11" s="16">
        <f>+'6'!T4</f>
        <v>0</v>
      </c>
      <c r="S11" s="16">
        <f>+'6'!U4</f>
        <v>0</v>
      </c>
      <c r="T11" s="16">
        <f>+'6'!V4</f>
        <v>0</v>
      </c>
      <c r="U11" s="16">
        <f>+'6'!W4</f>
        <v>0</v>
      </c>
      <c r="V11" s="16">
        <f>+'6'!X4</f>
        <v>0</v>
      </c>
      <c r="W11" s="16">
        <f>+'6'!Y4</f>
        <v>0</v>
      </c>
      <c r="X11" s="16">
        <f>+'6'!Z4</f>
        <v>0</v>
      </c>
      <c r="Y11" s="16">
        <f>+'6'!AA4</f>
        <v>0</v>
      </c>
      <c r="Z11" s="16">
        <f>+'6'!AB4</f>
        <v>18368420.911559001</v>
      </c>
      <c r="AA11" s="16">
        <f>+'6'!AC4</f>
        <v>0</v>
      </c>
    </row>
    <row r="12" spans="1:28" s="14" customFormat="1">
      <c r="A12" s="33" t="s">
        <v>44</v>
      </c>
      <c r="B12" s="15">
        <f>SUM(B6:B11)</f>
        <v>1993770.9070139998</v>
      </c>
      <c r="C12" s="15">
        <f t="shared" ref="C12:H12" si="0">SUM(C6:C11)</f>
        <v>92724092.340000004</v>
      </c>
      <c r="D12" s="15">
        <f t="shared" si="0"/>
        <v>90730321.432986006</v>
      </c>
      <c r="E12" s="15">
        <f t="shared" si="0"/>
        <v>0</v>
      </c>
      <c r="F12" s="15">
        <f t="shared" si="0"/>
        <v>90730321.432986006</v>
      </c>
      <c r="G12" s="15">
        <f t="shared" si="0"/>
        <v>5944966.1257130001</v>
      </c>
      <c r="H12" s="15">
        <f t="shared" si="0"/>
        <v>68122639.340000004</v>
      </c>
      <c r="I12" s="15">
        <f t="shared" ref="I12:AA12" si="1">SUM(I6:I11)</f>
        <v>2380054.973636</v>
      </c>
      <c r="J12" s="15">
        <f t="shared" si="1"/>
        <v>0</v>
      </c>
      <c r="K12" s="15">
        <f t="shared" si="1"/>
        <v>745172.72727300005</v>
      </c>
      <c r="L12" s="15">
        <f t="shared" si="1"/>
        <v>8583410.7109089997</v>
      </c>
      <c r="M12" s="15">
        <f t="shared" si="1"/>
        <v>952072.07000000007</v>
      </c>
      <c r="N12" s="15">
        <f t="shared" si="1"/>
        <v>1353641.8454549999</v>
      </c>
      <c r="O12" s="15">
        <f t="shared" si="1"/>
        <v>2648363.64</v>
      </c>
      <c r="P12" s="34">
        <f t="shared" si="1"/>
        <v>0</v>
      </c>
      <c r="Q12" s="22">
        <f t="shared" si="1"/>
        <v>0</v>
      </c>
      <c r="R12" s="15">
        <f t="shared" si="1"/>
        <v>0</v>
      </c>
      <c r="S12" s="15">
        <f t="shared" si="1"/>
        <v>0</v>
      </c>
      <c r="T12" s="15">
        <f t="shared" si="1"/>
        <v>0</v>
      </c>
      <c r="U12" s="15">
        <f t="shared" si="1"/>
        <v>0</v>
      </c>
      <c r="V12" s="15">
        <f t="shared" si="1"/>
        <v>0</v>
      </c>
      <c r="W12" s="15">
        <f t="shared" si="1"/>
        <v>0</v>
      </c>
      <c r="X12" s="15">
        <f t="shared" si="1"/>
        <v>0</v>
      </c>
      <c r="Y12" s="15">
        <f t="shared" si="1"/>
        <v>0</v>
      </c>
      <c r="Z12" s="15">
        <f t="shared" si="1"/>
        <v>90730321.432986006</v>
      </c>
      <c r="AA12" s="15">
        <f t="shared" si="1"/>
        <v>0</v>
      </c>
    </row>
    <row r="13" spans="1:28" s="17" customFormat="1" ht="10.5">
      <c r="A13" s="32" t="s">
        <v>45</v>
      </c>
      <c r="B13" s="16">
        <f>+'7'!D4</f>
        <v>2110895.6892210003</v>
      </c>
      <c r="C13" s="16">
        <f>+'7'!E4</f>
        <v>40191422.43</v>
      </c>
      <c r="D13" s="16">
        <f>+'7'!F4</f>
        <v>38080555.740779005</v>
      </c>
      <c r="E13" s="16">
        <f>+'7'!G4</f>
        <v>0</v>
      </c>
      <c r="F13" s="16">
        <f>+'7'!H4</f>
        <v>72430129.159999996</v>
      </c>
      <c r="G13" s="16">
        <f>+'7'!I4</f>
        <v>10629018</v>
      </c>
      <c r="H13" s="16">
        <f>+'7'!J4</f>
        <v>20042925.43</v>
      </c>
      <c r="I13" s="16">
        <f>+'7'!K4</f>
        <v>3561661</v>
      </c>
      <c r="J13" s="16">
        <f>+'7'!L4</f>
        <v>392000</v>
      </c>
      <c r="K13" s="16">
        <f>+'7'!M4</f>
        <v>6844350</v>
      </c>
      <c r="L13" s="16">
        <f>+'7'!N4</f>
        <v>10373800</v>
      </c>
      <c r="M13" s="16">
        <f>+'7'!O4</f>
        <v>11354900</v>
      </c>
      <c r="N13" s="16">
        <f>+'7'!P4</f>
        <v>5516474.7300000004</v>
      </c>
      <c r="O13" s="16">
        <f>+'7'!Q4</f>
        <v>3115000</v>
      </c>
      <c r="P13" s="16">
        <f>+'7'!R4</f>
        <v>0</v>
      </c>
      <c r="Q13" s="16">
        <f>+'7'!S4</f>
        <v>0</v>
      </c>
      <c r="R13" s="16">
        <f>+'7'!T4</f>
        <v>0</v>
      </c>
      <c r="S13" s="16">
        <f>+'7'!U4</f>
        <v>0</v>
      </c>
      <c r="T13" s="16">
        <f>+'7'!V4</f>
        <v>0</v>
      </c>
      <c r="U13" s="16">
        <f>+'7'!W4</f>
        <v>0</v>
      </c>
      <c r="V13" s="16">
        <f>+'7'!X4</f>
        <v>600000</v>
      </c>
      <c r="W13" s="16">
        <f>+'7'!Y4</f>
        <v>0</v>
      </c>
      <c r="X13" s="16">
        <f>+'7'!Z4</f>
        <v>0</v>
      </c>
      <c r="Y13" s="16">
        <f>+'7'!AA4</f>
        <v>0</v>
      </c>
      <c r="Z13" s="16">
        <f>+'7'!AB4</f>
        <v>72430129.159999996</v>
      </c>
      <c r="AA13" s="16">
        <f>+'7'!AC4</f>
        <v>0</v>
      </c>
    </row>
    <row r="14" spans="1:28" s="17" customFormat="1" ht="10.5">
      <c r="A14" s="32" t="s">
        <v>46</v>
      </c>
      <c r="B14" s="16">
        <f>+'8'!D4</f>
        <v>1907763.8215729999</v>
      </c>
      <c r="C14" s="16">
        <f>+'8'!E4</f>
        <v>34214520.800000004</v>
      </c>
      <c r="D14" s="16">
        <f>+'8'!F4</f>
        <v>32306756.978427004</v>
      </c>
      <c r="E14" s="16">
        <f>+'8'!G4</f>
        <v>0</v>
      </c>
      <c r="F14" s="16">
        <f>+'8'!H4</f>
        <v>123725572.8</v>
      </c>
      <c r="G14" s="16">
        <f>+'8'!I4</f>
        <v>14399963.469999999</v>
      </c>
      <c r="H14" s="16">
        <f>+'8'!J4</f>
        <v>25340203.329999998</v>
      </c>
      <c r="I14" s="16">
        <f>+'8'!K4</f>
        <v>4229736</v>
      </c>
      <c r="J14" s="16">
        <f>+'8'!L4</f>
        <v>5545860</v>
      </c>
      <c r="K14" s="16">
        <f>+'8'!M4</f>
        <v>6641990</v>
      </c>
      <c r="L14" s="16">
        <f>+'8'!N4</f>
        <v>15328635</v>
      </c>
      <c r="M14" s="16">
        <f>+'8'!O4</f>
        <v>20978250</v>
      </c>
      <c r="N14" s="16">
        <f>+'8'!P4</f>
        <v>29085935</v>
      </c>
      <c r="O14" s="16">
        <f>+'8'!Q4</f>
        <v>2175000</v>
      </c>
      <c r="P14" s="16">
        <f>+'8'!R4</f>
        <v>0</v>
      </c>
      <c r="Q14" s="16">
        <f>+'8'!S4</f>
        <v>0</v>
      </c>
      <c r="R14" s="16">
        <f>+'8'!T4</f>
        <v>0</v>
      </c>
      <c r="S14" s="16">
        <f>+'8'!U4</f>
        <v>0</v>
      </c>
      <c r="T14" s="16">
        <f>+'8'!V4</f>
        <v>0</v>
      </c>
      <c r="U14" s="16">
        <f>+'8'!W4</f>
        <v>0</v>
      </c>
      <c r="V14" s="16">
        <f>+'8'!X4</f>
        <v>0</v>
      </c>
      <c r="W14" s="16">
        <f>+'8'!Y4</f>
        <v>0</v>
      </c>
      <c r="X14" s="16">
        <f>+'8'!Z4</f>
        <v>0</v>
      </c>
      <c r="Y14" s="16">
        <f>+'8'!AA4</f>
        <v>0</v>
      </c>
      <c r="Z14" s="16">
        <f>+'8'!AB4</f>
        <v>123725572.8</v>
      </c>
      <c r="AA14" s="16">
        <f>+'8'!AC4</f>
        <v>0</v>
      </c>
    </row>
    <row r="15" spans="1:28" s="17" customFormat="1" ht="10.5">
      <c r="A15" s="32" t="s">
        <v>47</v>
      </c>
      <c r="B15" s="16">
        <f>+'9'!D4</f>
        <v>252525.89608400004</v>
      </c>
      <c r="C15" s="16">
        <f>+'9'!E4</f>
        <v>6302615.2300000004</v>
      </c>
      <c r="D15" s="16">
        <f>+'9'!F4</f>
        <v>6050089.3339159992</v>
      </c>
      <c r="E15" s="16">
        <f>+'9'!G4</f>
        <v>0</v>
      </c>
      <c r="F15" s="16">
        <f>+'9'!H4</f>
        <v>6302615.2300000004</v>
      </c>
      <c r="G15" s="16">
        <f>+'9'!I4</f>
        <v>2774173</v>
      </c>
      <c r="H15" s="16">
        <f>+'9'!J4</f>
        <v>1762775.23</v>
      </c>
      <c r="I15" s="16">
        <f>+'9'!K4</f>
        <v>149600</v>
      </c>
      <c r="J15" s="16">
        <f>+'9'!L4</f>
        <v>0</v>
      </c>
      <c r="K15" s="16">
        <f>+'9'!M4</f>
        <v>37000</v>
      </c>
      <c r="L15" s="16">
        <f>+'9'!N4</f>
        <v>310000</v>
      </c>
      <c r="M15" s="16">
        <f>+'9'!O4</f>
        <v>822500</v>
      </c>
      <c r="N15" s="16">
        <f>+'9'!P4</f>
        <v>218067</v>
      </c>
      <c r="O15" s="16">
        <f>+'9'!Q4</f>
        <v>228500</v>
      </c>
      <c r="P15" s="16">
        <f>+'9'!R4</f>
        <v>0</v>
      </c>
      <c r="Q15" s="16">
        <f>+'9'!S4</f>
        <v>0</v>
      </c>
      <c r="R15" s="16">
        <f>+'9'!T4</f>
        <v>0</v>
      </c>
      <c r="S15" s="16">
        <f>+'9'!U4</f>
        <v>0</v>
      </c>
      <c r="T15" s="16">
        <f>+'9'!V4</f>
        <v>0</v>
      </c>
      <c r="U15" s="16">
        <f>+'9'!W4</f>
        <v>0</v>
      </c>
      <c r="V15" s="16">
        <f>+'9'!X4</f>
        <v>0</v>
      </c>
      <c r="W15" s="16">
        <f>+'9'!Y4</f>
        <v>0</v>
      </c>
      <c r="X15" s="16">
        <f>+'9'!Z4</f>
        <v>0</v>
      </c>
      <c r="Y15" s="16">
        <f>+'9'!AA4</f>
        <v>0</v>
      </c>
      <c r="Z15" s="16">
        <f>+'9'!AB4</f>
        <v>6302615.2300000004</v>
      </c>
      <c r="AA15" s="16">
        <f>+'9'!AC4</f>
        <v>0</v>
      </c>
    </row>
    <row r="16" spans="1:28" s="17" customFormat="1" ht="10.5">
      <c r="A16" s="32" t="s">
        <v>48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31"/>
      <c r="Q16" s="21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s="19" customFormat="1" ht="10.5">
      <c r="A17" s="32" t="s">
        <v>49</v>
      </c>
      <c r="B17" s="18"/>
      <c r="C17" s="18"/>
      <c r="D17" s="18"/>
      <c r="E17" s="18"/>
      <c r="F17" s="18"/>
      <c r="G17" s="16"/>
      <c r="H17" s="16"/>
      <c r="I17" s="18"/>
      <c r="J17" s="18"/>
      <c r="K17" s="18"/>
      <c r="L17" s="18"/>
      <c r="M17" s="18"/>
      <c r="N17" s="18"/>
      <c r="O17" s="18"/>
      <c r="P17" s="35"/>
      <c r="Q17" s="23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 s="19" customFormat="1" ht="10.5">
      <c r="A18" s="32" t="s">
        <v>50</v>
      </c>
      <c r="B18" s="18"/>
      <c r="C18" s="18"/>
      <c r="D18" s="18"/>
      <c r="E18" s="18"/>
      <c r="F18" s="18"/>
      <c r="G18" s="16"/>
      <c r="H18" s="16"/>
      <c r="I18" s="18"/>
      <c r="J18" s="18"/>
      <c r="K18" s="18"/>
      <c r="L18" s="18"/>
      <c r="M18" s="18"/>
      <c r="N18" s="18"/>
      <c r="O18" s="18"/>
      <c r="P18" s="35"/>
      <c r="Q18" s="23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 s="14" customFormat="1" ht="16" thickBot="1">
      <c r="A19" s="36" t="s">
        <v>44</v>
      </c>
      <c r="B19" s="37">
        <f>SUM(B13:B18)</f>
        <v>4271185.4068780001</v>
      </c>
      <c r="C19" s="37">
        <f t="shared" ref="C19" si="2">SUM(C13:C18)</f>
        <v>80708558.460000008</v>
      </c>
      <c r="D19" s="37">
        <f t="shared" ref="D19" si="3">SUM(D13:D18)</f>
        <v>76437402.053121999</v>
      </c>
      <c r="E19" s="37">
        <f t="shared" ref="E19" si="4">SUM(E13:E18)</f>
        <v>0</v>
      </c>
      <c r="F19" s="37">
        <f t="shared" ref="F19" si="5">SUM(F13:F18)</f>
        <v>202458317.18999997</v>
      </c>
      <c r="G19" s="37">
        <f t="shared" ref="G19:H19" si="6">SUM(G13:G18)</f>
        <v>27803154.469999999</v>
      </c>
      <c r="H19" s="37">
        <f t="shared" si="6"/>
        <v>47145903.989999995</v>
      </c>
      <c r="I19" s="37">
        <f t="shared" ref="I19" si="7">SUM(I13:I18)</f>
        <v>7940997</v>
      </c>
      <c r="J19" s="37">
        <f t="shared" ref="J19" si="8">SUM(J13:J18)</f>
        <v>5937860</v>
      </c>
      <c r="K19" s="37">
        <f t="shared" ref="K19" si="9">SUM(K13:K18)</f>
        <v>13523340</v>
      </c>
      <c r="L19" s="37">
        <f t="shared" ref="L19" si="10">SUM(L13:L18)</f>
        <v>26012435</v>
      </c>
      <c r="M19" s="37">
        <f t="shared" ref="M19" si="11">SUM(M13:M18)</f>
        <v>33155650</v>
      </c>
      <c r="N19" s="37">
        <f t="shared" ref="N19" si="12">SUM(N13:N18)</f>
        <v>34820476.730000004</v>
      </c>
      <c r="O19" s="37">
        <f t="shared" ref="O19" si="13">SUM(O13:O18)</f>
        <v>5518500</v>
      </c>
      <c r="P19" s="38">
        <f t="shared" ref="P19" si="14">SUM(P13:P18)</f>
        <v>0</v>
      </c>
      <c r="Q19" s="22">
        <f t="shared" ref="Q19" si="15">SUM(Q13:Q18)</f>
        <v>0</v>
      </c>
      <c r="R19" s="15">
        <f t="shared" ref="R19" si="16">SUM(R13:R18)</f>
        <v>0</v>
      </c>
      <c r="S19" s="15">
        <f t="shared" ref="S19" si="17">SUM(S13:S18)</f>
        <v>0</v>
      </c>
      <c r="T19" s="15">
        <f t="shared" ref="T19" si="18">SUM(T13:T18)</f>
        <v>0</v>
      </c>
      <c r="U19" s="15">
        <f t="shared" ref="U19" si="19">SUM(U13:U18)</f>
        <v>0</v>
      </c>
      <c r="V19" s="15">
        <f t="shared" ref="V19" si="20">SUM(V13:V18)</f>
        <v>600000</v>
      </c>
      <c r="W19" s="15">
        <f t="shared" ref="W19" si="21">SUM(W13:W18)</f>
        <v>0</v>
      </c>
      <c r="X19" s="15">
        <f t="shared" ref="X19" si="22">SUM(X13:X18)</f>
        <v>0</v>
      </c>
      <c r="Y19" s="15">
        <f t="shared" ref="Y19" si="23">SUM(Y13:Y18)</f>
        <v>0</v>
      </c>
      <c r="Z19" s="15">
        <f t="shared" ref="Z19" si="24">SUM(Z13:Z18)</f>
        <v>202458317.18999997</v>
      </c>
      <c r="AA19" s="15">
        <f t="shared" ref="AA19" si="25">SUM(AA13:AA18)</f>
        <v>0</v>
      </c>
    </row>
  </sheetData>
  <mergeCells count="1">
    <mergeCell ref="A2:Z2"/>
  </mergeCells>
  <pageMargins left="0.31496062992125984" right="0.31496062992125984" top="0.74803149606299213" bottom="0.74803149606299213" header="0.31496062992125984" footer="0.31496062992125984"/>
  <pageSetup paperSize="9" scale="41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E11"/>
  <sheetViews>
    <sheetView zoomScale="70" zoomScaleNormal="70" workbookViewId="0">
      <pane ySplit="5" topLeftCell="A6" activePane="bottomLeft" state="frozen"/>
      <selection pane="bottomLeft" activeCell="J8" sqref="J8"/>
    </sheetView>
  </sheetViews>
  <sheetFormatPr defaultRowHeight="15.5"/>
  <cols>
    <col min="1" max="1" width="10.83203125" bestFit="1" customWidth="1"/>
    <col min="2" max="2" width="21.83203125" bestFit="1" customWidth="1"/>
    <col min="3" max="3" width="8.75" bestFit="1" customWidth="1"/>
    <col min="4" max="4" width="5.58203125" bestFit="1" customWidth="1"/>
    <col min="5" max="8" width="11.83203125" bestFit="1" customWidth="1"/>
    <col min="9" max="9" width="13.33203125" bestFit="1" customWidth="1"/>
    <col min="10" max="10" width="11.75" bestFit="1" customWidth="1"/>
    <col min="12" max="12" width="4.33203125" bestFit="1" customWidth="1"/>
    <col min="13" max="13" width="6.83203125" bestFit="1" customWidth="1"/>
    <col min="14" max="14" width="6" bestFit="1" customWidth="1"/>
    <col min="15" max="15" width="5.5" bestFit="1" customWidth="1"/>
    <col min="16" max="16" width="4.58203125" bestFit="1" customWidth="1"/>
    <col min="18" max="18" width="5.33203125" bestFit="1" customWidth="1"/>
    <col min="19" max="19" width="8.58203125" bestFit="1" customWidth="1"/>
    <col min="20" max="20" width="7" bestFit="1" customWidth="1"/>
    <col min="21" max="21" width="6" bestFit="1" customWidth="1"/>
    <col min="22" max="22" width="8.83203125" bestFit="1" customWidth="1"/>
    <col min="23" max="23" width="8.33203125" bestFit="1" customWidth="1"/>
    <col min="24" max="24" width="5.5" bestFit="1" customWidth="1"/>
    <col min="25" max="25" width="5.83203125" bestFit="1" customWidth="1"/>
    <col min="28" max="28" width="11.83203125" bestFit="1" customWidth="1"/>
    <col min="29" max="29" width="9.08203125" bestFit="1" customWidth="1"/>
  </cols>
  <sheetData>
    <row r="2" spans="1:31" ht="16" thickBot="1"/>
    <row r="3" spans="1:31" s="5" customFormat="1" ht="34.5">
      <c r="A3" s="2" t="s">
        <v>15</v>
      </c>
      <c r="B3" s="1" t="s">
        <v>0</v>
      </c>
      <c r="C3" s="1" t="s">
        <v>1</v>
      </c>
      <c r="D3" s="3" t="s">
        <v>2</v>
      </c>
      <c r="E3" s="3" t="s">
        <v>3</v>
      </c>
      <c r="F3" s="3" t="s">
        <v>4</v>
      </c>
      <c r="G3" s="1" t="s">
        <v>16</v>
      </c>
      <c r="H3" s="25" t="s">
        <v>3</v>
      </c>
      <c r="I3" s="2" t="s">
        <v>17</v>
      </c>
      <c r="J3" s="2" t="s">
        <v>62</v>
      </c>
      <c r="K3" s="2" t="s">
        <v>18</v>
      </c>
      <c r="L3" s="4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1" t="s">
        <v>24</v>
      </c>
      <c r="R3" s="1" t="s">
        <v>25</v>
      </c>
      <c r="S3" s="1" t="s">
        <v>26</v>
      </c>
      <c r="T3" s="1" t="s">
        <v>27</v>
      </c>
      <c r="U3" s="1" t="s">
        <v>28</v>
      </c>
      <c r="V3" s="1" t="s">
        <v>29</v>
      </c>
      <c r="W3" s="1" t="s">
        <v>30</v>
      </c>
      <c r="X3" s="1" t="s">
        <v>31</v>
      </c>
      <c r="Y3" s="1" t="s">
        <v>32</v>
      </c>
      <c r="Z3" s="1" t="s">
        <v>33</v>
      </c>
      <c r="AA3" s="1" t="s">
        <v>34</v>
      </c>
      <c r="AB3" s="1" t="s">
        <v>35</v>
      </c>
      <c r="AC3" s="1" t="s">
        <v>36</v>
      </c>
    </row>
    <row r="4" spans="1:31" s="7" customFormat="1" ht="12">
      <c r="A4" s="184"/>
      <c r="B4" s="184"/>
      <c r="C4" s="185"/>
      <c r="D4" s="6">
        <f>SUM(D6:D162)</f>
        <v>0</v>
      </c>
      <c r="E4" s="6">
        <f>SUM(E6:E162)</f>
        <v>12063668.700000001</v>
      </c>
      <c r="F4" s="6">
        <f>SUM(F6:F162)</f>
        <v>12063668.700000001</v>
      </c>
      <c r="G4" s="6"/>
      <c r="H4" s="6">
        <f>+AB4</f>
        <v>12063668.700000001</v>
      </c>
      <c r="I4" s="6">
        <f>SUM(I6:I162)</f>
        <v>4000</v>
      </c>
      <c r="J4" s="6">
        <f>SUM(J6:J162)</f>
        <v>12059668.700000001</v>
      </c>
      <c r="K4" s="6">
        <f t="shared" ref="K4:AA4" si="0">SUM(K6:K162)</f>
        <v>0</v>
      </c>
      <c r="L4" s="6">
        <f t="shared" si="0"/>
        <v>0</v>
      </c>
      <c r="M4" s="6">
        <f t="shared" si="0"/>
        <v>0</v>
      </c>
      <c r="N4" s="6">
        <f t="shared" si="0"/>
        <v>0</v>
      </c>
      <c r="O4" s="6">
        <f t="shared" si="0"/>
        <v>0</v>
      </c>
      <c r="P4" s="6">
        <f t="shared" si="0"/>
        <v>0</v>
      </c>
      <c r="Q4" s="6">
        <f t="shared" si="0"/>
        <v>0</v>
      </c>
      <c r="R4" s="6">
        <f t="shared" si="0"/>
        <v>0</v>
      </c>
      <c r="S4" s="6">
        <f t="shared" si="0"/>
        <v>0</v>
      </c>
      <c r="T4" s="6">
        <f t="shared" si="0"/>
        <v>0</v>
      </c>
      <c r="U4" s="6">
        <f t="shared" si="0"/>
        <v>0</v>
      </c>
      <c r="V4" s="6">
        <f t="shared" si="0"/>
        <v>0</v>
      </c>
      <c r="W4" s="6">
        <f t="shared" si="0"/>
        <v>0</v>
      </c>
      <c r="X4" s="6">
        <f t="shared" si="0"/>
        <v>0</v>
      </c>
      <c r="Y4" s="6">
        <f t="shared" si="0"/>
        <v>0</v>
      </c>
      <c r="Z4" s="6">
        <f t="shared" si="0"/>
        <v>0</v>
      </c>
      <c r="AA4" s="6">
        <f t="shared" si="0"/>
        <v>0</v>
      </c>
      <c r="AB4" s="6">
        <f>SUM(I4:AA4)</f>
        <v>12063668.700000001</v>
      </c>
      <c r="AC4" s="6">
        <f>SUM(AC6:AC162)</f>
        <v>0</v>
      </c>
    </row>
    <row r="5" spans="1:31" s="7" customFormat="1" ht="12">
      <c r="A5" s="186"/>
      <c r="B5" s="186"/>
      <c r="C5" s="187"/>
      <c r="D5" s="8"/>
      <c r="E5" s="8"/>
      <c r="F5" s="9">
        <v>1</v>
      </c>
      <c r="G5" s="9"/>
      <c r="H5" s="10"/>
      <c r="I5" s="13">
        <f>+I4/$H$4</f>
        <v>3.3157409238202966E-4</v>
      </c>
      <c r="J5" s="13"/>
      <c r="K5" s="13">
        <f t="shared" ref="K5:AC5" si="1">+K4/$H$4</f>
        <v>0</v>
      </c>
      <c r="L5" s="13">
        <f t="shared" si="1"/>
        <v>0</v>
      </c>
      <c r="M5" s="13">
        <f t="shared" si="1"/>
        <v>0</v>
      </c>
      <c r="N5" s="13">
        <f t="shared" si="1"/>
        <v>0</v>
      </c>
      <c r="O5" s="13">
        <f t="shared" si="1"/>
        <v>0</v>
      </c>
      <c r="P5" s="13">
        <f t="shared" si="1"/>
        <v>0</v>
      </c>
      <c r="Q5" s="13">
        <f t="shared" si="1"/>
        <v>0</v>
      </c>
      <c r="R5" s="13">
        <f t="shared" si="1"/>
        <v>0</v>
      </c>
      <c r="S5" s="13">
        <f t="shared" si="1"/>
        <v>0</v>
      </c>
      <c r="T5" s="13">
        <f t="shared" si="1"/>
        <v>0</v>
      </c>
      <c r="U5" s="13">
        <f t="shared" si="1"/>
        <v>0</v>
      </c>
      <c r="V5" s="13">
        <f t="shared" si="1"/>
        <v>0</v>
      </c>
      <c r="W5" s="13">
        <f t="shared" si="1"/>
        <v>0</v>
      </c>
      <c r="X5" s="13">
        <f t="shared" si="1"/>
        <v>0</v>
      </c>
      <c r="Y5" s="13">
        <f t="shared" si="1"/>
        <v>0</v>
      </c>
      <c r="Z5" s="13">
        <f t="shared" si="1"/>
        <v>0</v>
      </c>
      <c r="AA5" s="13">
        <f t="shared" si="1"/>
        <v>0</v>
      </c>
      <c r="AB5" s="40">
        <f>+AB4/$H$4</f>
        <v>1</v>
      </c>
      <c r="AC5" s="13">
        <f t="shared" si="1"/>
        <v>0</v>
      </c>
    </row>
    <row r="6" spans="1:31" s="7" customFormat="1">
      <c r="A6" t="s">
        <v>63</v>
      </c>
      <c r="B6" t="s">
        <v>64</v>
      </c>
      <c r="C6" t="s">
        <v>65</v>
      </c>
      <c r="D6" s="62">
        <v>0</v>
      </c>
      <c r="E6" s="62">
        <v>9784108.7200000007</v>
      </c>
      <c r="F6" s="62">
        <f>+E6-D6</f>
        <v>9784108.7200000007</v>
      </c>
      <c r="G6" s="62" t="s">
        <v>55</v>
      </c>
      <c r="H6" s="62">
        <f>+F6</f>
        <v>9784108.7200000007</v>
      </c>
      <c r="I6" s="62"/>
      <c r="J6" s="62">
        <f>+F6</f>
        <v>9784108.7200000007</v>
      </c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>
        <f>SUM(I6:AA6)</f>
        <v>9784108.7200000007</v>
      </c>
      <c r="AC6" s="63">
        <f>+AB6-H6</f>
        <v>0</v>
      </c>
      <c r="AD6" s="63"/>
      <c r="AE6" s="12"/>
    </row>
    <row r="7" spans="1:31" s="7" customFormat="1">
      <c r="A7" t="s">
        <v>63</v>
      </c>
      <c r="B7" t="s">
        <v>56</v>
      </c>
      <c r="C7" t="s">
        <v>57</v>
      </c>
      <c r="D7" s="62">
        <v>0</v>
      </c>
      <c r="E7" s="62">
        <v>2000</v>
      </c>
      <c r="F7" s="62">
        <f t="shared" ref="F7:F9" si="2">+E7-D7</f>
        <v>2000</v>
      </c>
      <c r="G7" s="62" t="s">
        <v>55</v>
      </c>
      <c r="H7" s="62">
        <f t="shared" ref="H7:H10" si="3">+F7</f>
        <v>2000</v>
      </c>
      <c r="I7" s="62">
        <f>+F7</f>
        <v>2000</v>
      </c>
      <c r="J7" s="62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>
        <f t="shared" ref="AB7:AB9" si="4">SUM(I7:AA7)</f>
        <v>2000</v>
      </c>
      <c r="AC7" s="63">
        <f t="shared" ref="AC7:AC11" si="5">+AB7-H7</f>
        <v>0</v>
      </c>
      <c r="AD7" s="63"/>
      <c r="AE7" s="12"/>
    </row>
    <row r="8" spans="1:31">
      <c r="A8" t="s">
        <v>66</v>
      </c>
      <c r="B8" t="s">
        <v>59</v>
      </c>
      <c r="C8" t="s">
        <v>60</v>
      </c>
      <c r="D8" s="62">
        <v>0</v>
      </c>
      <c r="E8" s="62">
        <v>2275559.98</v>
      </c>
      <c r="F8" s="62">
        <f t="shared" si="2"/>
        <v>2275559.98</v>
      </c>
      <c r="G8" s="62" t="s">
        <v>55</v>
      </c>
      <c r="H8" s="62">
        <f t="shared" si="3"/>
        <v>2275559.98</v>
      </c>
      <c r="I8" s="62"/>
      <c r="J8" s="62">
        <f>+F8</f>
        <v>2275559.98</v>
      </c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3">
        <f t="shared" si="4"/>
        <v>2275559.98</v>
      </c>
      <c r="AC8" s="63">
        <f t="shared" si="5"/>
        <v>0</v>
      </c>
      <c r="AD8" s="62"/>
    </row>
    <row r="9" spans="1:31">
      <c r="A9" t="s">
        <v>67</v>
      </c>
      <c r="B9" t="s">
        <v>68</v>
      </c>
      <c r="C9" t="s">
        <v>69</v>
      </c>
      <c r="D9" s="62">
        <v>0</v>
      </c>
      <c r="E9" s="62">
        <v>2000</v>
      </c>
      <c r="F9" s="62">
        <f t="shared" si="2"/>
        <v>2000</v>
      </c>
      <c r="G9" s="62" t="s">
        <v>55</v>
      </c>
      <c r="H9" s="62">
        <f t="shared" si="3"/>
        <v>2000</v>
      </c>
      <c r="I9" s="62">
        <f>+F9</f>
        <v>2000</v>
      </c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3">
        <f t="shared" si="4"/>
        <v>2000</v>
      </c>
      <c r="AC9" s="63">
        <f t="shared" si="5"/>
        <v>0</v>
      </c>
      <c r="AD9" s="62"/>
    </row>
    <row r="10" spans="1:31">
      <c r="D10" s="62"/>
      <c r="E10" s="62"/>
      <c r="F10" s="62"/>
      <c r="G10" s="62"/>
      <c r="H10" s="62">
        <f t="shared" si="3"/>
        <v>0</v>
      </c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3">
        <f t="shared" si="5"/>
        <v>0</v>
      </c>
      <c r="AD10" s="62"/>
    </row>
    <row r="11" spans="1:31">
      <c r="AC11" s="11">
        <f t="shared" si="5"/>
        <v>0</v>
      </c>
    </row>
  </sheetData>
  <mergeCells count="1">
    <mergeCell ref="A4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3:AC18"/>
  <sheetViews>
    <sheetView zoomScale="70" zoomScaleNormal="70" workbookViewId="0">
      <pane ySplit="5" topLeftCell="A6" activePane="bottomLeft" state="frozen"/>
      <selection activeCell="B1" sqref="B1"/>
      <selection pane="bottomLeft" activeCell="B9" sqref="B9"/>
    </sheetView>
  </sheetViews>
  <sheetFormatPr defaultRowHeight="15.5"/>
  <cols>
    <col min="2" max="2" width="19" bestFit="1" customWidth="1"/>
    <col min="4" max="4" width="7.08203125" bestFit="1" customWidth="1"/>
    <col min="5" max="6" width="11" bestFit="1" customWidth="1"/>
    <col min="7" max="7" width="11.83203125" bestFit="1" customWidth="1"/>
    <col min="8" max="8" width="11.5" bestFit="1" customWidth="1"/>
    <col min="9" max="9" width="12.58203125" bestFit="1" customWidth="1"/>
    <col min="10" max="10" width="11.5" bestFit="1" customWidth="1"/>
    <col min="11" max="11" width="8.58203125" bestFit="1" customWidth="1"/>
    <col min="12" max="12" width="4.25" bestFit="1" customWidth="1"/>
    <col min="13" max="13" width="6.83203125" bestFit="1" customWidth="1"/>
    <col min="14" max="14" width="6" bestFit="1" customWidth="1"/>
    <col min="15" max="15" width="5.5" bestFit="1" customWidth="1"/>
    <col min="16" max="16" width="4.58203125" bestFit="1" customWidth="1"/>
    <col min="17" max="17" width="9.08203125" bestFit="1" customWidth="1"/>
    <col min="18" max="18" width="5.33203125" bestFit="1" customWidth="1"/>
    <col min="19" max="19" width="12.75" bestFit="1" customWidth="1"/>
    <col min="20" max="20" width="7" bestFit="1" customWidth="1"/>
    <col min="21" max="21" width="6" bestFit="1" customWidth="1"/>
    <col min="22" max="22" width="8.83203125" bestFit="1" customWidth="1"/>
    <col min="23" max="23" width="12.33203125" bestFit="1" customWidth="1"/>
    <col min="24" max="24" width="5.5" bestFit="1" customWidth="1"/>
    <col min="25" max="25" width="5.75" bestFit="1" customWidth="1"/>
    <col min="26" max="26" width="6.5" bestFit="1" customWidth="1"/>
    <col min="27" max="27" width="4.5" bestFit="1" customWidth="1"/>
    <col min="28" max="28" width="11.5" bestFit="1" customWidth="1"/>
  </cols>
  <sheetData>
    <row r="3" spans="1:29" s="5" customFormat="1" ht="34.5">
      <c r="A3" s="2" t="s">
        <v>15</v>
      </c>
      <c r="B3" s="1" t="s">
        <v>0</v>
      </c>
      <c r="C3" s="1" t="s">
        <v>1</v>
      </c>
      <c r="D3" s="3" t="s">
        <v>2</v>
      </c>
      <c r="E3" s="3" t="s">
        <v>3</v>
      </c>
      <c r="F3" s="3" t="s">
        <v>4</v>
      </c>
      <c r="G3" s="1" t="s">
        <v>16</v>
      </c>
      <c r="H3" s="1" t="s">
        <v>37</v>
      </c>
      <c r="I3" s="2" t="s">
        <v>17</v>
      </c>
      <c r="J3" s="2" t="s">
        <v>62</v>
      </c>
      <c r="K3" s="2" t="s">
        <v>18</v>
      </c>
      <c r="L3" s="4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1" t="s">
        <v>24</v>
      </c>
      <c r="R3" s="1" t="s">
        <v>25</v>
      </c>
      <c r="S3" s="1" t="s">
        <v>26</v>
      </c>
      <c r="T3" s="1" t="s">
        <v>27</v>
      </c>
      <c r="U3" s="1" t="s">
        <v>28</v>
      </c>
      <c r="V3" s="1" t="s">
        <v>29</v>
      </c>
      <c r="W3" s="1" t="s">
        <v>30</v>
      </c>
      <c r="X3" s="1" t="s">
        <v>31</v>
      </c>
      <c r="Y3" s="1" t="s">
        <v>32</v>
      </c>
      <c r="Z3" s="1" t="s">
        <v>33</v>
      </c>
      <c r="AA3" s="1" t="s">
        <v>34</v>
      </c>
      <c r="AB3" s="1" t="s">
        <v>35</v>
      </c>
      <c r="AC3" s="1" t="s">
        <v>36</v>
      </c>
    </row>
    <row r="4" spans="1:29" s="7" customFormat="1" ht="12">
      <c r="A4" s="184"/>
      <c r="B4" s="184"/>
      <c r="C4" s="185"/>
      <c r="D4" s="6">
        <f>SUM(D6:D162)</f>
        <v>9281.82</v>
      </c>
      <c r="E4" s="6">
        <f>SUM(E6:E162)</f>
        <v>12091231.959999999</v>
      </c>
      <c r="F4" s="6">
        <f>SUM(F6:F162)</f>
        <v>12081950.140000001</v>
      </c>
      <c r="G4" s="6"/>
      <c r="H4" s="6">
        <f>+AB4</f>
        <v>12081950.139999999</v>
      </c>
      <c r="I4" s="6">
        <f>SUM(I6:I162)</f>
        <v>96818.18</v>
      </c>
      <c r="J4" s="6">
        <f>SUM(J6:J162)</f>
        <v>11985131.959999999</v>
      </c>
      <c r="K4" s="6">
        <f>SUM(K6:K162)</f>
        <v>0</v>
      </c>
      <c r="L4" s="6">
        <f t="shared" ref="L4:AA4" si="0">SUM(L6:L162)</f>
        <v>0</v>
      </c>
      <c r="M4" s="6">
        <f t="shared" si="0"/>
        <v>0</v>
      </c>
      <c r="N4" s="6">
        <f t="shared" si="0"/>
        <v>0</v>
      </c>
      <c r="O4" s="6">
        <f t="shared" si="0"/>
        <v>0</v>
      </c>
      <c r="P4" s="6">
        <f t="shared" si="0"/>
        <v>0</v>
      </c>
      <c r="Q4" s="6">
        <f t="shared" si="0"/>
        <v>0</v>
      </c>
      <c r="R4" s="6">
        <f t="shared" si="0"/>
        <v>0</v>
      </c>
      <c r="S4" s="6">
        <f t="shared" si="0"/>
        <v>0</v>
      </c>
      <c r="T4" s="6">
        <f t="shared" si="0"/>
        <v>0</v>
      </c>
      <c r="U4" s="6">
        <f t="shared" si="0"/>
        <v>0</v>
      </c>
      <c r="V4" s="6">
        <f t="shared" si="0"/>
        <v>0</v>
      </c>
      <c r="W4" s="6">
        <f t="shared" si="0"/>
        <v>0</v>
      </c>
      <c r="X4" s="6">
        <f t="shared" si="0"/>
        <v>0</v>
      </c>
      <c r="Y4" s="6">
        <f t="shared" si="0"/>
        <v>0</v>
      </c>
      <c r="Z4" s="6">
        <f t="shared" si="0"/>
        <v>0</v>
      </c>
      <c r="AA4" s="6">
        <f t="shared" si="0"/>
        <v>0</v>
      </c>
      <c r="AB4" s="6">
        <f>SUM(I4:AA4)</f>
        <v>12081950.139999999</v>
      </c>
      <c r="AC4" s="6">
        <f>SUM(AC6:AC162)</f>
        <v>0</v>
      </c>
    </row>
    <row r="5" spans="1:29" s="7" customFormat="1" ht="12">
      <c r="A5" s="186"/>
      <c r="B5" s="186"/>
      <c r="C5" s="187"/>
      <c r="D5" s="8"/>
      <c r="E5" s="8"/>
      <c r="F5" s="9">
        <v>1</v>
      </c>
      <c r="G5" s="9"/>
      <c r="H5" s="10"/>
      <c r="I5" s="13">
        <f>+I4/$H$4</f>
        <v>8.0134563442255686E-3</v>
      </c>
      <c r="J5" s="13"/>
      <c r="K5" s="13">
        <f t="shared" ref="K5:AC5" si="1">+K4/$H$4</f>
        <v>0</v>
      </c>
      <c r="L5" s="13">
        <f t="shared" si="1"/>
        <v>0</v>
      </c>
      <c r="M5" s="13">
        <f t="shared" si="1"/>
        <v>0</v>
      </c>
      <c r="N5" s="13">
        <f t="shared" si="1"/>
        <v>0</v>
      </c>
      <c r="O5" s="13">
        <f t="shared" si="1"/>
        <v>0</v>
      </c>
      <c r="P5" s="13">
        <f t="shared" si="1"/>
        <v>0</v>
      </c>
      <c r="Q5" s="13">
        <f t="shared" si="1"/>
        <v>0</v>
      </c>
      <c r="R5" s="13">
        <f t="shared" si="1"/>
        <v>0</v>
      </c>
      <c r="S5" s="13">
        <f t="shared" si="1"/>
        <v>0</v>
      </c>
      <c r="T5" s="13">
        <f t="shared" si="1"/>
        <v>0</v>
      </c>
      <c r="U5" s="13">
        <f t="shared" si="1"/>
        <v>0</v>
      </c>
      <c r="V5" s="13">
        <f t="shared" si="1"/>
        <v>0</v>
      </c>
      <c r="W5" s="13">
        <f t="shared" si="1"/>
        <v>0</v>
      </c>
      <c r="X5" s="13">
        <f t="shared" si="1"/>
        <v>0</v>
      </c>
      <c r="Y5" s="13">
        <f t="shared" si="1"/>
        <v>0</v>
      </c>
      <c r="Z5" s="13">
        <f t="shared" si="1"/>
        <v>0</v>
      </c>
      <c r="AA5" s="13">
        <f t="shared" si="1"/>
        <v>0</v>
      </c>
      <c r="AB5" s="13">
        <f t="shared" si="1"/>
        <v>1</v>
      </c>
      <c r="AC5" s="13">
        <f t="shared" si="1"/>
        <v>0</v>
      </c>
    </row>
    <row r="6" spans="1:29" s="61" customFormat="1" ht="13">
      <c r="A6" s="61" t="s">
        <v>52</v>
      </c>
      <c r="B6" s="61" t="s">
        <v>53</v>
      </c>
      <c r="C6" s="61" t="s">
        <v>54</v>
      </c>
      <c r="D6" s="61">
        <v>0</v>
      </c>
      <c r="E6" s="61">
        <v>1000</v>
      </c>
      <c r="F6" s="61">
        <f t="shared" ref="F6:F11" si="2">+E6-D6</f>
        <v>1000</v>
      </c>
      <c r="G6" s="61" t="s">
        <v>55</v>
      </c>
      <c r="H6" s="67">
        <f>+F6</f>
        <v>1000</v>
      </c>
      <c r="I6" s="67">
        <f>+H6</f>
        <v>1000</v>
      </c>
      <c r="J6" s="67"/>
      <c r="K6" s="67"/>
      <c r="AB6" s="68">
        <f>SUM(I6:AA6)</f>
        <v>1000</v>
      </c>
      <c r="AC6" s="68">
        <f>+H6-AB6</f>
        <v>0</v>
      </c>
    </row>
    <row r="7" spans="1:29" s="61" customFormat="1" ht="13">
      <c r="A7" s="61" t="s">
        <v>52</v>
      </c>
      <c r="B7" s="61" t="s">
        <v>56</v>
      </c>
      <c r="C7" s="61" t="s">
        <v>57</v>
      </c>
      <c r="D7" s="61">
        <v>0</v>
      </c>
      <c r="E7" s="61">
        <v>2000</v>
      </c>
      <c r="F7" s="61">
        <f t="shared" si="2"/>
        <v>2000</v>
      </c>
      <c r="G7" s="61" t="s">
        <v>55</v>
      </c>
      <c r="H7" s="67">
        <f t="shared" ref="H7:H11" si="3">+F7</f>
        <v>2000</v>
      </c>
      <c r="I7" s="67">
        <f>+H7</f>
        <v>2000</v>
      </c>
      <c r="J7" s="67"/>
      <c r="K7" s="67"/>
      <c r="AB7" s="68">
        <f t="shared" ref="AB7:AB12" si="4">SUM(I7:AA7)</f>
        <v>2000</v>
      </c>
      <c r="AC7" s="68">
        <f t="shared" ref="AC7:AC14" si="5">+H7-AB7</f>
        <v>0</v>
      </c>
    </row>
    <row r="8" spans="1:29" s="61" customFormat="1" ht="13">
      <c r="A8" s="61" t="s">
        <v>5</v>
      </c>
      <c r="B8" s="61" t="s">
        <v>6</v>
      </c>
      <c r="C8" s="61" t="s">
        <v>7</v>
      </c>
      <c r="D8" s="61">
        <v>9281.82</v>
      </c>
      <c r="E8" s="61">
        <v>102100</v>
      </c>
      <c r="F8" s="61">
        <f t="shared" si="2"/>
        <v>92818.18</v>
      </c>
      <c r="G8" s="61" t="s">
        <v>8</v>
      </c>
      <c r="H8" s="67">
        <f t="shared" si="3"/>
        <v>92818.18</v>
      </c>
      <c r="I8" s="67">
        <f>+H8</f>
        <v>92818.18</v>
      </c>
      <c r="J8" s="67"/>
      <c r="K8" s="67"/>
      <c r="AB8" s="68">
        <f t="shared" si="4"/>
        <v>92818.18</v>
      </c>
      <c r="AC8" s="68">
        <f t="shared" si="5"/>
        <v>0</v>
      </c>
    </row>
    <row r="9" spans="1:29" s="61" customFormat="1" ht="13">
      <c r="A9" s="61" t="s">
        <v>58</v>
      </c>
      <c r="B9" s="61" t="s">
        <v>59</v>
      </c>
      <c r="C9" s="61" t="s">
        <v>60</v>
      </c>
      <c r="D9" s="61">
        <v>0</v>
      </c>
      <c r="E9" s="61">
        <v>2201022.36</v>
      </c>
      <c r="F9" s="61">
        <f t="shared" si="2"/>
        <v>2201022.36</v>
      </c>
      <c r="G9" s="61" t="s">
        <v>55</v>
      </c>
      <c r="H9" s="67">
        <f t="shared" si="3"/>
        <v>2201022.36</v>
      </c>
      <c r="I9" s="67"/>
      <c r="J9" s="67">
        <f>+H9</f>
        <v>2201022.36</v>
      </c>
      <c r="K9" s="67"/>
      <c r="AB9" s="68">
        <f t="shared" si="4"/>
        <v>2201022.36</v>
      </c>
      <c r="AC9" s="68">
        <f t="shared" si="5"/>
        <v>0</v>
      </c>
    </row>
    <row r="10" spans="1:29" s="61" customFormat="1" ht="13">
      <c r="A10" s="61" t="s">
        <v>61</v>
      </c>
      <c r="B10" s="61" t="s">
        <v>53</v>
      </c>
      <c r="C10" s="61" t="s">
        <v>54</v>
      </c>
      <c r="D10" s="61">
        <v>0</v>
      </c>
      <c r="E10" s="61">
        <v>1000</v>
      </c>
      <c r="F10" s="61">
        <f t="shared" si="2"/>
        <v>1000</v>
      </c>
      <c r="G10" s="61" t="s">
        <v>55</v>
      </c>
      <c r="H10" s="67">
        <f t="shared" si="3"/>
        <v>1000</v>
      </c>
      <c r="I10" s="67">
        <f>+H10</f>
        <v>1000</v>
      </c>
      <c r="J10" s="67"/>
      <c r="K10" s="67"/>
      <c r="AB10" s="68">
        <f t="shared" si="4"/>
        <v>1000</v>
      </c>
      <c r="AC10" s="68">
        <f t="shared" si="5"/>
        <v>0</v>
      </c>
    </row>
    <row r="11" spans="1:29" s="61" customFormat="1" ht="13">
      <c r="A11" s="61" t="s">
        <v>52</v>
      </c>
      <c r="B11" s="61" t="s">
        <v>64</v>
      </c>
      <c r="C11" s="61" t="s">
        <v>65</v>
      </c>
      <c r="D11" s="61">
        <v>0</v>
      </c>
      <c r="E11" s="61">
        <v>9784109.5999999996</v>
      </c>
      <c r="F11" s="61">
        <f t="shared" si="2"/>
        <v>9784109.5999999996</v>
      </c>
      <c r="H11" s="67">
        <f t="shared" si="3"/>
        <v>9784109.5999999996</v>
      </c>
      <c r="I11" s="67"/>
      <c r="J11" s="67">
        <f>+F11</f>
        <v>9784109.5999999996</v>
      </c>
      <c r="AB11" s="68">
        <f t="shared" si="4"/>
        <v>9784109.5999999996</v>
      </c>
      <c r="AC11" s="68">
        <f t="shared" si="5"/>
        <v>0</v>
      </c>
    </row>
    <row r="12" spans="1:29" s="61" customFormat="1" ht="13">
      <c r="H12" s="67"/>
      <c r="I12" s="67"/>
      <c r="J12" s="67"/>
      <c r="AB12" s="68">
        <f t="shared" si="4"/>
        <v>0</v>
      </c>
      <c r="AC12" s="68">
        <f t="shared" si="5"/>
        <v>0</v>
      </c>
    </row>
    <row r="13" spans="1:29" s="61" customFormat="1" ht="13">
      <c r="H13" s="67"/>
      <c r="I13" s="67"/>
      <c r="J13" s="67"/>
      <c r="AC13" s="68">
        <f t="shared" si="5"/>
        <v>0</v>
      </c>
    </row>
    <row r="14" spans="1:29" s="61" customFormat="1" ht="13">
      <c r="H14" s="67"/>
      <c r="I14" s="67"/>
      <c r="J14" s="67"/>
      <c r="AC14" s="68">
        <f t="shared" si="5"/>
        <v>0</v>
      </c>
    </row>
    <row r="15" spans="1:29" s="61" customFormat="1" ht="13"/>
    <row r="16" spans="1:29" s="61" customFormat="1" ht="13"/>
    <row r="17" s="61" customFormat="1" ht="13"/>
    <row r="18" s="61" customFormat="1" ht="13"/>
  </sheetData>
  <mergeCells count="1">
    <mergeCell ref="A4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3:AC20"/>
  <sheetViews>
    <sheetView zoomScale="85" zoomScaleNormal="85" workbookViewId="0">
      <pane ySplit="5" topLeftCell="A6" activePane="bottomLeft" state="frozen"/>
      <selection activeCell="E1" sqref="E1"/>
      <selection pane="bottomLeft" activeCell="E6" sqref="E6"/>
    </sheetView>
  </sheetViews>
  <sheetFormatPr defaultColWidth="9" defaultRowHeight="15.5"/>
  <cols>
    <col min="1" max="1" width="12.33203125" style="66" customWidth="1"/>
    <col min="2" max="2" width="18.25" style="66" bestFit="1" customWidth="1"/>
    <col min="3" max="3" width="8.25" style="66" bestFit="1" customWidth="1"/>
    <col min="4" max="4" width="9.08203125" style="66" customWidth="1"/>
    <col min="5" max="10" width="10.75" style="66" customWidth="1"/>
    <col min="11" max="11" width="9.08203125" style="66" customWidth="1"/>
    <col min="12" max="27" width="7" style="66" customWidth="1"/>
    <col min="28" max="28" width="9.08203125" style="66" bestFit="1" customWidth="1"/>
    <col min="29" max="29" width="6.75" style="66" bestFit="1" customWidth="1"/>
    <col min="30" max="16384" width="9" style="66"/>
  </cols>
  <sheetData>
    <row r="3" spans="1:29" s="59" customFormat="1" ht="46">
      <c r="A3" s="2" t="s">
        <v>15</v>
      </c>
      <c r="B3" s="1" t="s">
        <v>0</v>
      </c>
      <c r="C3" s="1" t="s">
        <v>1</v>
      </c>
      <c r="D3" s="3" t="s">
        <v>2</v>
      </c>
      <c r="E3" s="3" t="s">
        <v>3</v>
      </c>
      <c r="F3" s="3" t="s">
        <v>4</v>
      </c>
      <c r="G3" s="1" t="s">
        <v>16</v>
      </c>
      <c r="H3" s="1" t="s">
        <v>37</v>
      </c>
      <c r="I3" s="2" t="s">
        <v>17</v>
      </c>
      <c r="J3" s="2" t="s">
        <v>62</v>
      </c>
      <c r="K3" s="2" t="s">
        <v>18</v>
      </c>
      <c r="L3" s="4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1" t="s">
        <v>24</v>
      </c>
      <c r="R3" s="1" t="s">
        <v>25</v>
      </c>
      <c r="S3" s="1" t="s">
        <v>26</v>
      </c>
      <c r="T3" s="1" t="s">
        <v>27</v>
      </c>
      <c r="U3" s="1" t="s">
        <v>28</v>
      </c>
      <c r="V3" s="1" t="s">
        <v>29</v>
      </c>
      <c r="W3" s="1" t="s">
        <v>30</v>
      </c>
      <c r="X3" s="1" t="s">
        <v>31</v>
      </c>
      <c r="Y3" s="1" t="s">
        <v>32</v>
      </c>
      <c r="Z3" s="1" t="s">
        <v>33</v>
      </c>
      <c r="AA3" s="1" t="s">
        <v>34</v>
      </c>
      <c r="AB3" s="1" t="s">
        <v>35</v>
      </c>
      <c r="AC3" s="1" t="s">
        <v>36</v>
      </c>
    </row>
    <row r="4" spans="1:29" s="60" customFormat="1" ht="11.5">
      <c r="A4" s="188"/>
      <c r="B4" s="188"/>
      <c r="C4" s="188"/>
      <c r="D4" s="6">
        <f t="shared" ref="D4:E4" si="0">SUM(D6:D162)</f>
        <v>12909.086363999999</v>
      </c>
      <c r="E4" s="6">
        <f t="shared" si="0"/>
        <v>10750322.530000001</v>
      </c>
      <c r="F4" s="6">
        <f>SUM(F6:F162)</f>
        <v>10737413.443636</v>
      </c>
      <c r="G4" s="6"/>
      <c r="H4" s="6">
        <f>+AB4</f>
        <v>10737413.443636002</v>
      </c>
      <c r="I4" s="6">
        <f>SUM(I6:I162)</f>
        <v>132090.91363600001</v>
      </c>
      <c r="J4" s="6">
        <f>SUM(J6:J162)</f>
        <v>10605322.530000001</v>
      </c>
      <c r="K4" s="6">
        <f t="shared" ref="K4:AA4" si="1">SUM(K6:K162)</f>
        <v>0</v>
      </c>
      <c r="L4" s="6">
        <f t="shared" si="1"/>
        <v>0</v>
      </c>
      <c r="M4" s="6">
        <f t="shared" si="1"/>
        <v>0</v>
      </c>
      <c r="N4" s="6">
        <f t="shared" si="1"/>
        <v>0</v>
      </c>
      <c r="O4" s="6">
        <f t="shared" si="1"/>
        <v>0</v>
      </c>
      <c r="P4" s="6">
        <f t="shared" si="1"/>
        <v>0</v>
      </c>
      <c r="Q4" s="6">
        <f t="shared" si="1"/>
        <v>0</v>
      </c>
      <c r="R4" s="6">
        <f t="shared" si="1"/>
        <v>0</v>
      </c>
      <c r="S4" s="6">
        <f t="shared" si="1"/>
        <v>0</v>
      </c>
      <c r="T4" s="6">
        <f t="shared" si="1"/>
        <v>0</v>
      </c>
      <c r="U4" s="6">
        <f t="shared" si="1"/>
        <v>0</v>
      </c>
      <c r="V4" s="6">
        <f t="shared" si="1"/>
        <v>0</v>
      </c>
      <c r="W4" s="6">
        <f t="shared" si="1"/>
        <v>0</v>
      </c>
      <c r="X4" s="6">
        <f t="shared" si="1"/>
        <v>0</v>
      </c>
      <c r="Y4" s="6">
        <f t="shared" si="1"/>
        <v>0</v>
      </c>
      <c r="Z4" s="6">
        <f t="shared" si="1"/>
        <v>0</v>
      </c>
      <c r="AA4" s="6">
        <f t="shared" si="1"/>
        <v>0</v>
      </c>
      <c r="AB4" s="6">
        <f>SUM(I4:AA4)</f>
        <v>10737413.443636002</v>
      </c>
      <c r="AC4" s="6">
        <f>SUM(AC6:AC162)</f>
        <v>0</v>
      </c>
    </row>
    <row r="5" spans="1:29" s="60" customFormat="1" ht="11.5">
      <c r="A5" s="188"/>
      <c r="B5" s="188"/>
      <c r="C5" s="188"/>
      <c r="D5" s="8"/>
      <c r="E5" s="8"/>
      <c r="F5" s="9">
        <v>1</v>
      </c>
      <c r="G5" s="9"/>
      <c r="H5" s="10"/>
      <c r="I5" s="9">
        <f>+I4/$H$4</f>
        <v>1.2301930472304712E-2</v>
      </c>
      <c r="J5" s="13"/>
      <c r="K5" s="9">
        <f t="shared" ref="K5:AC5" si="2">+K4/$H$4</f>
        <v>0</v>
      </c>
      <c r="L5" s="9">
        <f t="shared" si="2"/>
        <v>0</v>
      </c>
      <c r="M5" s="9">
        <f t="shared" si="2"/>
        <v>0</v>
      </c>
      <c r="N5" s="9">
        <f t="shared" si="2"/>
        <v>0</v>
      </c>
      <c r="O5" s="9">
        <f t="shared" si="2"/>
        <v>0</v>
      </c>
      <c r="P5" s="9">
        <f t="shared" si="2"/>
        <v>0</v>
      </c>
      <c r="Q5" s="9">
        <f t="shared" si="2"/>
        <v>0</v>
      </c>
      <c r="R5" s="9">
        <f t="shared" si="2"/>
        <v>0</v>
      </c>
      <c r="S5" s="9">
        <f t="shared" si="2"/>
        <v>0</v>
      </c>
      <c r="T5" s="9">
        <f t="shared" si="2"/>
        <v>0</v>
      </c>
      <c r="U5" s="9">
        <f t="shared" si="2"/>
        <v>0</v>
      </c>
      <c r="V5" s="9">
        <f t="shared" si="2"/>
        <v>0</v>
      </c>
      <c r="W5" s="9">
        <f t="shared" si="2"/>
        <v>0</v>
      </c>
      <c r="X5" s="9">
        <f t="shared" si="2"/>
        <v>0</v>
      </c>
      <c r="Y5" s="9">
        <f t="shared" si="2"/>
        <v>0</v>
      </c>
      <c r="Z5" s="9">
        <f t="shared" si="2"/>
        <v>0</v>
      </c>
      <c r="AA5" s="9">
        <f t="shared" si="2"/>
        <v>0</v>
      </c>
      <c r="AB5" s="9">
        <f t="shared" si="2"/>
        <v>1</v>
      </c>
      <c r="AC5" s="13">
        <f t="shared" si="2"/>
        <v>0</v>
      </c>
    </row>
    <row r="6" spans="1:29" s="61" customFormat="1" ht="13">
      <c r="A6" s="64" t="s">
        <v>12</v>
      </c>
      <c r="B6" s="64" t="s">
        <v>64</v>
      </c>
      <c r="C6" s="64" t="s">
        <v>65</v>
      </c>
      <c r="D6" s="63">
        <v>0</v>
      </c>
      <c r="E6" s="63">
        <v>8683468.9100000001</v>
      </c>
      <c r="F6" s="63">
        <f>+E6-D6</f>
        <v>8683468.9100000001</v>
      </c>
      <c r="G6" s="63" t="s">
        <v>8</v>
      </c>
      <c r="H6" s="63">
        <f>+F6</f>
        <v>8683468.9100000001</v>
      </c>
      <c r="I6" s="63"/>
      <c r="J6" s="63">
        <f>+H6</f>
        <v>8683468.9100000001</v>
      </c>
      <c r="K6" s="63"/>
      <c r="L6" s="63"/>
      <c r="M6" s="64"/>
      <c r="N6" s="64"/>
      <c r="O6" s="65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49">
        <f>SUM(I6:AA6)</f>
        <v>8683468.9100000001</v>
      </c>
      <c r="AC6" s="49">
        <f>+AB6-H6</f>
        <v>0</v>
      </c>
    </row>
    <row r="7" spans="1:29" s="61" customFormat="1" ht="13">
      <c r="A7" s="64" t="s">
        <v>12</v>
      </c>
      <c r="B7" s="64" t="s">
        <v>53</v>
      </c>
      <c r="C7" s="64" t="s">
        <v>54</v>
      </c>
      <c r="D7" s="63">
        <v>0</v>
      </c>
      <c r="E7" s="63">
        <v>1000</v>
      </c>
      <c r="F7" s="63">
        <f t="shared" ref="F7:F11" si="3">+E7-D7</f>
        <v>1000</v>
      </c>
      <c r="G7" s="63" t="s">
        <v>8</v>
      </c>
      <c r="H7" s="63">
        <f t="shared" ref="H7:H11" si="4">+F7</f>
        <v>1000</v>
      </c>
      <c r="I7" s="63">
        <f>+H7</f>
        <v>1000</v>
      </c>
      <c r="J7" s="63"/>
      <c r="K7" s="63"/>
      <c r="L7" s="63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49">
        <f>SUM(I7:AA7)</f>
        <v>1000</v>
      </c>
      <c r="AC7" s="49">
        <f t="shared" ref="AC7:AC9" si="5">SUM(AC9:AC165)</f>
        <v>0</v>
      </c>
    </row>
    <row r="8" spans="1:29" s="61" customFormat="1" ht="13">
      <c r="A8" s="64" t="s">
        <v>12</v>
      </c>
      <c r="B8" s="64" t="s">
        <v>13</v>
      </c>
      <c r="C8" s="64" t="s">
        <v>14</v>
      </c>
      <c r="D8" s="63">
        <v>8363.636364</v>
      </c>
      <c r="E8" s="63">
        <v>92000</v>
      </c>
      <c r="F8" s="63">
        <f t="shared" si="3"/>
        <v>83636.363635999995</v>
      </c>
      <c r="G8" s="63"/>
      <c r="H8" s="63">
        <f t="shared" si="4"/>
        <v>83636.363635999995</v>
      </c>
      <c r="I8" s="63">
        <f t="shared" ref="I8:I9" si="6">+H8</f>
        <v>83636.363635999995</v>
      </c>
      <c r="J8" s="63"/>
      <c r="K8" s="63"/>
      <c r="L8" s="63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49">
        <f>SUM(I8:AA8)</f>
        <v>83636.363635999995</v>
      </c>
      <c r="AC8" s="49">
        <f t="shared" si="5"/>
        <v>0</v>
      </c>
    </row>
    <row r="9" spans="1:29" s="61" customFormat="1" ht="13">
      <c r="A9" s="64" t="s">
        <v>12</v>
      </c>
      <c r="B9" s="64" t="s">
        <v>56</v>
      </c>
      <c r="C9" s="64" t="s">
        <v>57</v>
      </c>
      <c r="D9" s="63">
        <v>0</v>
      </c>
      <c r="E9" s="63">
        <v>2000</v>
      </c>
      <c r="F9" s="63">
        <f t="shared" si="3"/>
        <v>2000</v>
      </c>
      <c r="G9" s="63"/>
      <c r="H9" s="63">
        <f t="shared" si="4"/>
        <v>2000</v>
      </c>
      <c r="I9" s="63">
        <f t="shared" si="6"/>
        <v>2000</v>
      </c>
      <c r="J9" s="63"/>
      <c r="K9" s="63"/>
      <c r="L9" s="63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49">
        <f>SUM(I9:AA9)</f>
        <v>2000</v>
      </c>
      <c r="AC9" s="49">
        <f t="shared" si="5"/>
        <v>0</v>
      </c>
    </row>
    <row r="10" spans="1:29" s="61" customFormat="1" ht="13">
      <c r="A10" s="64" t="s">
        <v>9</v>
      </c>
      <c r="B10" s="64" t="s">
        <v>10</v>
      </c>
      <c r="C10" s="64" t="s">
        <v>11</v>
      </c>
      <c r="D10" s="63">
        <v>4545.45</v>
      </c>
      <c r="E10" s="63">
        <v>50000</v>
      </c>
      <c r="F10" s="63">
        <f t="shared" si="3"/>
        <v>45454.55</v>
      </c>
      <c r="G10" s="63"/>
      <c r="H10" s="63">
        <f t="shared" si="4"/>
        <v>45454.55</v>
      </c>
      <c r="I10" s="63">
        <f>+H10</f>
        <v>45454.55</v>
      </c>
      <c r="J10" s="63"/>
      <c r="K10" s="63"/>
      <c r="L10" s="63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49">
        <f>SUM(I10:AA10)</f>
        <v>45454.55</v>
      </c>
      <c r="AC10" s="64"/>
    </row>
    <row r="11" spans="1:29" s="61" customFormat="1" ht="13">
      <c r="A11" s="64" t="s">
        <v>70</v>
      </c>
      <c r="B11" s="64" t="s">
        <v>59</v>
      </c>
      <c r="C11" s="64" t="s">
        <v>60</v>
      </c>
      <c r="D11" s="63">
        <v>0</v>
      </c>
      <c r="E11" s="63">
        <v>1921853.62</v>
      </c>
      <c r="F11" s="63">
        <f t="shared" si="3"/>
        <v>1921853.62</v>
      </c>
      <c r="G11" s="63"/>
      <c r="H11" s="63">
        <f t="shared" si="4"/>
        <v>1921853.62</v>
      </c>
      <c r="I11" s="63"/>
      <c r="J11" s="63">
        <f>+H11</f>
        <v>1921853.62</v>
      </c>
      <c r="K11" s="63"/>
      <c r="L11" s="63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</row>
    <row r="12" spans="1:29" s="61" customFormat="1" ht="13">
      <c r="D12" s="62"/>
      <c r="E12" s="62"/>
      <c r="F12" s="62"/>
      <c r="G12" s="62"/>
      <c r="H12" s="62"/>
      <c r="I12" s="62"/>
      <c r="J12" s="62"/>
      <c r="K12" s="62"/>
      <c r="L12" s="62"/>
    </row>
    <row r="13" spans="1:29" s="61" customFormat="1" ht="13">
      <c r="D13" s="62"/>
      <c r="E13" s="62"/>
      <c r="F13" s="62"/>
      <c r="G13" s="62"/>
      <c r="H13" s="62"/>
      <c r="I13" s="62"/>
      <c r="J13" s="62"/>
      <c r="K13" s="62"/>
      <c r="L13" s="62"/>
    </row>
    <row r="14" spans="1:29" s="61" customFormat="1" ht="13">
      <c r="D14" s="62"/>
      <c r="E14" s="62"/>
      <c r="F14" s="62"/>
      <c r="G14" s="62"/>
      <c r="H14" s="62"/>
      <c r="I14" s="62"/>
      <c r="J14" s="62"/>
      <c r="K14" s="62"/>
      <c r="L14" s="62"/>
    </row>
    <row r="15" spans="1:29" s="61" customFormat="1" ht="13">
      <c r="D15" s="62"/>
      <c r="E15" s="62"/>
      <c r="F15" s="62"/>
      <c r="G15" s="62"/>
      <c r="H15" s="62"/>
      <c r="I15" s="62"/>
      <c r="J15" s="62"/>
      <c r="K15" s="62"/>
      <c r="L15" s="62"/>
    </row>
    <row r="16" spans="1:29" s="61" customFormat="1" ht="13">
      <c r="D16" s="62"/>
      <c r="E16" s="62"/>
      <c r="F16" s="62"/>
      <c r="G16" s="62"/>
      <c r="H16" s="62"/>
      <c r="I16" s="62"/>
      <c r="J16" s="62"/>
      <c r="K16" s="62"/>
      <c r="L16" s="62"/>
    </row>
    <row r="17" spans="4:12" s="61" customFormat="1" ht="13">
      <c r="D17" s="62"/>
      <c r="E17" s="62"/>
      <c r="F17" s="62"/>
      <c r="G17" s="62"/>
      <c r="H17" s="62"/>
      <c r="I17" s="62"/>
      <c r="J17" s="62"/>
      <c r="K17" s="62"/>
      <c r="L17" s="62"/>
    </row>
    <row r="18" spans="4:12" s="61" customFormat="1" ht="13"/>
    <row r="19" spans="4:12" s="61" customFormat="1" ht="13"/>
    <row r="20" spans="4:12" s="61" customFormat="1" ht="13"/>
  </sheetData>
  <mergeCells count="1">
    <mergeCell ref="A4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C19"/>
  <sheetViews>
    <sheetView zoomScaleNormal="100" workbookViewId="0">
      <pane ySplit="5" topLeftCell="A6" activePane="bottomLeft" state="frozen"/>
      <selection pane="bottomLeft" activeCell="G6" sqref="G6"/>
    </sheetView>
  </sheetViews>
  <sheetFormatPr defaultColWidth="9" defaultRowHeight="15.5"/>
  <cols>
    <col min="1" max="1" width="10.08203125" style="66" bestFit="1" customWidth="1"/>
    <col min="2" max="2" width="22.83203125" style="66" bestFit="1" customWidth="1"/>
    <col min="3" max="3" width="8.25" style="66" bestFit="1" customWidth="1"/>
    <col min="4" max="4" width="8.75" style="66" bestFit="1" customWidth="1"/>
    <col min="5" max="5" width="11" style="66" bestFit="1" customWidth="1"/>
    <col min="6" max="6" width="11.5" style="66" bestFit="1" customWidth="1"/>
    <col min="7" max="7" width="7.58203125" style="66" bestFit="1" customWidth="1"/>
    <col min="8" max="8" width="11.5" style="66" bestFit="1" customWidth="1"/>
    <col min="9" max="10" width="10.25" style="66" bestFit="1" customWidth="1"/>
    <col min="11" max="11" width="8.5" style="66" bestFit="1" customWidth="1"/>
    <col min="12" max="12" width="4.25" style="66" bestFit="1" customWidth="1"/>
    <col min="13" max="13" width="6.83203125" style="66" bestFit="1" customWidth="1"/>
    <col min="14" max="14" width="6" style="66" bestFit="1" customWidth="1"/>
    <col min="15" max="15" width="5.5" style="66" bestFit="1" customWidth="1"/>
    <col min="16" max="16" width="4.58203125" style="66" bestFit="1" customWidth="1"/>
    <col min="17" max="17" width="6.75" style="66" bestFit="1" customWidth="1"/>
    <col min="18" max="18" width="5.33203125" style="66" bestFit="1" customWidth="1"/>
    <col min="19" max="19" width="8.58203125" style="66" bestFit="1" customWidth="1"/>
    <col min="20" max="20" width="7" style="66" bestFit="1" customWidth="1"/>
    <col min="21" max="21" width="6" style="66" bestFit="1" customWidth="1"/>
    <col min="22" max="22" width="8.83203125" style="66" bestFit="1" customWidth="1"/>
    <col min="23" max="23" width="8.33203125" style="66" bestFit="1" customWidth="1"/>
    <col min="24" max="24" width="5.5" style="66" bestFit="1" customWidth="1"/>
    <col min="25" max="25" width="5.58203125" style="66" bestFit="1" customWidth="1"/>
    <col min="26" max="26" width="6.5" style="66" bestFit="1" customWidth="1"/>
    <col min="27" max="27" width="4.5" style="66" bestFit="1" customWidth="1"/>
    <col min="28" max="28" width="10.58203125" style="66" bestFit="1" customWidth="1"/>
    <col min="29" max="29" width="6.83203125" style="66" bestFit="1" customWidth="1"/>
    <col min="30" max="16384" width="9" style="66"/>
  </cols>
  <sheetData>
    <row r="2" spans="1:29">
      <c r="D2" s="77" t="s">
        <v>235</v>
      </c>
      <c r="E2" s="76" t="s">
        <v>233</v>
      </c>
      <c r="F2" s="76" t="s">
        <v>234</v>
      </c>
    </row>
    <row r="3" spans="1:29" s="59" customFormat="1" ht="34.5">
      <c r="A3" s="2" t="s">
        <v>15</v>
      </c>
      <c r="B3" s="1" t="s">
        <v>0</v>
      </c>
      <c r="C3" s="1" t="s">
        <v>1</v>
      </c>
      <c r="D3" s="3" t="s">
        <v>2</v>
      </c>
      <c r="E3" s="3" t="s">
        <v>3</v>
      </c>
      <c r="F3" s="3" t="s">
        <v>4</v>
      </c>
      <c r="G3" s="1" t="s">
        <v>16</v>
      </c>
      <c r="H3" s="1" t="s">
        <v>37</v>
      </c>
      <c r="I3" s="2" t="s">
        <v>17</v>
      </c>
      <c r="J3" s="2" t="s">
        <v>62</v>
      </c>
      <c r="K3" s="2" t="s">
        <v>18</v>
      </c>
      <c r="L3" s="4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1" t="s">
        <v>24</v>
      </c>
      <c r="R3" s="1" t="s">
        <v>25</v>
      </c>
      <c r="S3" s="1" t="s">
        <v>26</v>
      </c>
      <c r="T3" s="1" t="s">
        <v>27</v>
      </c>
      <c r="U3" s="1" t="s">
        <v>28</v>
      </c>
      <c r="V3" s="1" t="s">
        <v>29</v>
      </c>
      <c r="W3" s="1" t="s">
        <v>30</v>
      </c>
      <c r="X3" s="1" t="s">
        <v>31</v>
      </c>
      <c r="Y3" s="1" t="s">
        <v>32</v>
      </c>
      <c r="Z3" s="1" t="s">
        <v>33</v>
      </c>
      <c r="AA3" s="1" t="s">
        <v>34</v>
      </c>
      <c r="AB3" s="1" t="s">
        <v>35</v>
      </c>
      <c r="AC3" s="1" t="s">
        <v>36</v>
      </c>
    </row>
    <row r="4" spans="1:29" s="60" customFormat="1" ht="11.5">
      <c r="A4" s="184"/>
      <c r="B4" s="184"/>
      <c r="C4" s="185"/>
      <c r="D4" s="6">
        <f t="shared" ref="D4:E4" si="0">SUM(D6:D162)</f>
        <v>13181.82</v>
      </c>
      <c r="E4" s="6">
        <f t="shared" si="0"/>
        <v>9599257.4100000001</v>
      </c>
      <c r="F4" s="6">
        <f>SUM(F6:F162)</f>
        <v>9586075.5899999999</v>
      </c>
      <c r="G4" s="6"/>
      <c r="H4" s="6">
        <f>+AB4</f>
        <v>9586075.5899999999</v>
      </c>
      <c r="I4" s="6">
        <f>SUM(I6:I162)</f>
        <v>136818.18</v>
      </c>
      <c r="J4" s="6">
        <f>SUM(J6:J162)</f>
        <v>9449257.4100000001</v>
      </c>
      <c r="K4" s="6">
        <f t="shared" ref="K4:AA4" si="1">SUM(K6:K162)</f>
        <v>0</v>
      </c>
      <c r="L4" s="6">
        <f t="shared" si="1"/>
        <v>0</v>
      </c>
      <c r="M4" s="6">
        <f t="shared" si="1"/>
        <v>0</v>
      </c>
      <c r="N4" s="6">
        <f t="shared" si="1"/>
        <v>0</v>
      </c>
      <c r="O4" s="6">
        <f t="shared" si="1"/>
        <v>0</v>
      </c>
      <c r="P4" s="6">
        <f t="shared" si="1"/>
        <v>0</v>
      </c>
      <c r="Q4" s="6">
        <f t="shared" si="1"/>
        <v>0</v>
      </c>
      <c r="R4" s="6">
        <f t="shared" si="1"/>
        <v>0</v>
      </c>
      <c r="S4" s="6">
        <f t="shared" si="1"/>
        <v>0</v>
      </c>
      <c r="T4" s="6">
        <f t="shared" si="1"/>
        <v>0</v>
      </c>
      <c r="U4" s="6">
        <f t="shared" si="1"/>
        <v>0</v>
      </c>
      <c r="V4" s="6">
        <f t="shared" si="1"/>
        <v>0</v>
      </c>
      <c r="W4" s="6">
        <f t="shared" si="1"/>
        <v>0</v>
      </c>
      <c r="X4" s="6">
        <f t="shared" si="1"/>
        <v>0</v>
      </c>
      <c r="Y4" s="6">
        <f t="shared" si="1"/>
        <v>0</v>
      </c>
      <c r="Z4" s="6">
        <f t="shared" si="1"/>
        <v>0</v>
      </c>
      <c r="AA4" s="6">
        <f t="shared" si="1"/>
        <v>0</v>
      </c>
      <c r="AB4" s="6">
        <f>SUM(I4:AA4)</f>
        <v>9586075.5899999999</v>
      </c>
      <c r="AC4" s="6">
        <f>SUM(AC6:AC162)</f>
        <v>0</v>
      </c>
    </row>
    <row r="5" spans="1:29" s="60" customFormat="1" ht="11.5">
      <c r="A5" s="186"/>
      <c r="B5" s="186"/>
      <c r="C5" s="187"/>
      <c r="D5" s="8"/>
      <c r="E5" s="8"/>
      <c r="F5" s="9">
        <v>1</v>
      </c>
      <c r="G5" s="9"/>
      <c r="H5" s="10"/>
      <c r="I5" s="9">
        <f>+I4/$H$4</f>
        <v>1.4272595570050162E-2</v>
      </c>
      <c r="J5" s="13"/>
      <c r="K5" s="9">
        <f t="shared" ref="K5:AC5" si="2">+K4/$H$4</f>
        <v>0</v>
      </c>
      <c r="L5" s="9">
        <f t="shared" si="2"/>
        <v>0</v>
      </c>
      <c r="M5" s="9">
        <f t="shared" si="2"/>
        <v>0</v>
      </c>
      <c r="N5" s="9">
        <f t="shared" si="2"/>
        <v>0</v>
      </c>
      <c r="O5" s="9">
        <f t="shared" si="2"/>
        <v>0</v>
      </c>
      <c r="P5" s="9">
        <f t="shared" si="2"/>
        <v>0</v>
      </c>
      <c r="Q5" s="9">
        <f t="shared" si="2"/>
        <v>0</v>
      </c>
      <c r="R5" s="9">
        <f t="shared" si="2"/>
        <v>0</v>
      </c>
      <c r="S5" s="9">
        <f t="shared" si="2"/>
        <v>0</v>
      </c>
      <c r="T5" s="9">
        <f t="shared" si="2"/>
        <v>0</v>
      </c>
      <c r="U5" s="9">
        <f t="shared" si="2"/>
        <v>0</v>
      </c>
      <c r="V5" s="9">
        <f t="shared" si="2"/>
        <v>0</v>
      </c>
      <c r="W5" s="9">
        <f t="shared" si="2"/>
        <v>0</v>
      </c>
      <c r="X5" s="9">
        <f t="shared" si="2"/>
        <v>0</v>
      </c>
      <c r="Y5" s="9">
        <f t="shared" si="2"/>
        <v>0</v>
      </c>
      <c r="Z5" s="9">
        <f t="shared" si="2"/>
        <v>0</v>
      </c>
      <c r="AA5" s="9">
        <f t="shared" si="2"/>
        <v>0</v>
      </c>
      <c r="AB5" s="9">
        <f t="shared" si="2"/>
        <v>1</v>
      </c>
      <c r="AC5" s="13">
        <f t="shared" si="2"/>
        <v>0</v>
      </c>
    </row>
    <row r="6" spans="1:29" s="61" customFormat="1" ht="13">
      <c r="A6" s="64" t="s">
        <v>71</v>
      </c>
      <c r="B6" s="64" t="s">
        <v>53</v>
      </c>
      <c r="C6" s="64" t="s">
        <v>54</v>
      </c>
      <c r="D6" s="64">
        <v>0</v>
      </c>
      <c r="E6" s="64">
        <v>1000</v>
      </c>
      <c r="F6" s="81">
        <f>+E6-D6</f>
        <v>1000</v>
      </c>
      <c r="G6" s="81" t="s">
        <v>8</v>
      </c>
      <c r="H6" s="81">
        <f>+F6</f>
        <v>1000</v>
      </c>
      <c r="I6" s="81">
        <f>+F6</f>
        <v>1000</v>
      </c>
      <c r="J6" s="64"/>
      <c r="K6" s="65"/>
      <c r="L6" s="64"/>
      <c r="M6" s="64"/>
      <c r="N6" s="64"/>
      <c r="O6" s="65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49">
        <f>SUM(I6:AA6)</f>
        <v>1000</v>
      </c>
      <c r="AC6" s="49">
        <f>+AB6-H6</f>
        <v>0</v>
      </c>
    </row>
    <row r="7" spans="1:29" s="61" customFormat="1" ht="13">
      <c r="A7" s="64" t="s">
        <v>71</v>
      </c>
      <c r="B7" s="64" t="s">
        <v>64</v>
      </c>
      <c r="C7" s="64" t="s">
        <v>65</v>
      </c>
      <c r="D7" s="64">
        <v>0</v>
      </c>
      <c r="E7" s="64">
        <v>9449257.4100000001</v>
      </c>
      <c r="F7" s="81">
        <f t="shared" ref="F7:F11" si="3">+E7-D7</f>
        <v>9449257.4100000001</v>
      </c>
      <c r="G7" s="81" t="s">
        <v>8</v>
      </c>
      <c r="H7" s="81">
        <f t="shared" ref="H7:H13" si="4">+F7</f>
        <v>9449257.4100000001</v>
      </c>
      <c r="I7" s="81"/>
      <c r="J7" s="65">
        <f>+H7</f>
        <v>9449257.4100000001</v>
      </c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49">
        <f>SUM(I7:AA7)</f>
        <v>9449257.4100000001</v>
      </c>
      <c r="AC7" s="49">
        <f t="shared" ref="AC7:AC16" si="5">+AB7-H7</f>
        <v>0</v>
      </c>
    </row>
    <row r="8" spans="1:29" s="61" customFormat="1" ht="13">
      <c r="A8" s="64" t="s">
        <v>71</v>
      </c>
      <c r="B8" s="64" t="s">
        <v>56</v>
      </c>
      <c r="C8" s="64" t="s">
        <v>57</v>
      </c>
      <c r="D8" s="64">
        <v>0</v>
      </c>
      <c r="E8" s="64">
        <v>2000</v>
      </c>
      <c r="F8" s="81">
        <f t="shared" si="3"/>
        <v>2000</v>
      </c>
      <c r="G8" s="81"/>
      <c r="H8" s="81">
        <f t="shared" si="4"/>
        <v>2000</v>
      </c>
      <c r="I8" s="81">
        <f t="shared" ref="I8" si="6">+E8</f>
        <v>2000</v>
      </c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49">
        <f>SUM(I8:AA8)</f>
        <v>2000</v>
      </c>
      <c r="AC8" s="49">
        <f t="shared" si="5"/>
        <v>0</v>
      </c>
    </row>
    <row r="9" spans="1:29" s="61" customFormat="1" ht="13">
      <c r="A9" s="64" t="s">
        <v>72</v>
      </c>
      <c r="B9" s="64" t="s">
        <v>73</v>
      </c>
      <c r="C9" s="64" t="s">
        <v>74</v>
      </c>
      <c r="D9" s="64">
        <v>4090.91</v>
      </c>
      <c r="E9" s="64">
        <v>45000</v>
      </c>
      <c r="F9" s="81">
        <f t="shared" si="3"/>
        <v>40909.089999999997</v>
      </c>
      <c r="G9" s="81"/>
      <c r="H9" s="81">
        <f t="shared" si="4"/>
        <v>40909.089999999997</v>
      </c>
      <c r="I9" s="81">
        <f>+H9</f>
        <v>40909.089999999997</v>
      </c>
      <c r="J9" s="65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49">
        <f>SUM(I9:AA9)</f>
        <v>40909.089999999997</v>
      </c>
      <c r="AC9" s="49">
        <f t="shared" si="5"/>
        <v>0</v>
      </c>
    </row>
    <row r="10" spans="1:29" s="61" customFormat="1" ht="13">
      <c r="A10" s="64" t="s">
        <v>75</v>
      </c>
      <c r="B10" s="64" t="s">
        <v>10</v>
      </c>
      <c r="C10" s="64" t="s">
        <v>11</v>
      </c>
      <c r="D10" s="64">
        <v>9090.91</v>
      </c>
      <c r="E10" s="64">
        <v>100000</v>
      </c>
      <c r="F10" s="81">
        <f t="shared" si="3"/>
        <v>90909.09</v>
      </c>
      <c r="G10" s="81"/>
      <c r="H10" s="81">
        <f t="shared" si="4"/>
        <v>90909.09</v>
      </c>
      <c r="I10" s="81">
        <f>+F10</f>
        <v>90909.09</v>
      </c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49">
        <f>SUM(I10:AA10)</f>
        <v>90909.09</v>
      </c>
      <c r="AC10" s="49">
        <f t="shared" si="5"/>
        <v>0</v>
      </c>
    </row>
    <row r="11" spans="1:29" s="61" customFormat="1" ht="13">
      <c r="A11" s="64" t="s">
        <v>76</v>
      </c>
      <c r="B11" s="64" t="s">
        <v>68</v>
      </c>
      <c r="C11" s="64" t="s">
        <v>69</v>
      </c>
      <c r="D11" s="64">
        <v>0</v>
      </c>
      <c r="E11" s="64">
        <v>2000</v>
      </c>
      <c r="F11" s="81">
        <f t="shared" si="3"/>
        <v>2000</v>
      </c>
      <c r="G11" s="81"/>
      <c r="H11" s="81">
        <f t="shared" si="4"/>
        <v>2000</v>
      </c>
      <c r="I11" s="81">
        <f>+F11</f>
        <v>2000</v>
      </c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49">
        <f t="shared" ref="AB11:AB12" si="7">SUM(I11:AA11)</f>
        <v>2000</v>
      </c>
      <c r="AC11" s="49">
        <f t="shared" si="5"/>
        <v>0</v>
      </c>
    </row>
    <row r="12" spans="1:29" s="61" customFormat="1" ht="13">
      <c r="A12" s="64"/>
      <c r="B12" s="64"/>
      <c r="C12" s="64"/>
      <c r="D12" s="64"/>
      <c r="E12" s="64"/>
      <c r="F12" s="81"/>
      <c r="G12" s="81"/>
      <c r="H12" s="81">
        <f t="shared" si="4"/>
        <v>0</v>
      </c>
      <c r="I12" s="81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49">
        <f t="shared" si="7"/>
        <v>0</v>
      </c>
      <c r="AC12" s="49">
        <f t="shared" si="5"/>
        <v>0</v>
      </c>
    </row>
    <row r="13" spans="1:29" s="61" customFormat="1" ht="13">
      <c r="A13" s="64"/>
      <c r="B13" s="64"/>
      <c r="C13" s="64"/>
      <c r="D13" s="64"/>
      <c r="E13" s="64"/>
      <c r="F13" s="64"/>
      <c r="G13" s="64"/>
      <c r="H13" s="65">
        <f t="shared" si="4"/>
        <v>0</v>
      </c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49">
        <f t="shared" si="5"/>
        <v>0</v>
      </c>
    </row>
    <row r="14" spans="1:29" s="61" customFormat="1" ht="13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49">
        <f t="shared" si="5"/>
        <v>0</v>
      </c>
    </row>
    <row r="15" spans="1:29" s="61" customFormat="1" ht="13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49">
        <f t="shared" si="5"/>
        <v>0</v>
      </c>
    </row>
    <row r="16" spans="1:29">
      <c r="A16" s="83"/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6">
        <f t="shared" si="5"/>
        <v>0</v>
      </c>
    </row>
    <row r="17" spans="1:29">
      <c r="A17" s="83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</row>
    <row r="18" spans="1:29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</row>
    <row r="19" spans="1:29">
      <c r="A19" s="83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</row>
  </sheetData>
  <mergeCells count="1">
    <mergeCell ref="A4:C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84"/>
  <sheetViews>
    <sheetView topLeftCell="H1" zoomScale="85" zoomScaleNormal="85" workbookViewId="0">
      <pane ySplit="5" topLeftCell="A15" activePane="bottomLeft" state="frozen"/>
      <selection pane="bottomLeft" activeCell="I16" sqref="I16"/>
    </sheetView>
  </sheetViews>
  <sheetFormatPr defaultColWidth="9" defaultRowHeight="13"/>
  <cols>
    <col min="1" max="1" width="9.58203125" style="39" bestFit="1" customWidth="1"/>
    <col min="2" max="2" width="23.33203125" style="39" bestFit="1" customWidth="1"/>
    <col min="3" max="3" width="13.5" style="39" bestFit="1" customWidth="1"/>
    <col min="4" max="4" width="11.33203125" style="39" bestFit="1" customWidth="1"/>
    <col min="5" max="5" width="14.75" style="58" bestFit="1" customWidth="1"/>
    <col min="6" max="6" width="15.08203125" style="41" bestFit="1" customWidth="1"/>
    <col min="7" max="9" width="9.83203125" style="39" customWidth="1"/>
    <col min="10" max="10" width="9.83203125" style="39" bestFit="1" customWidth="1"/>
    <col min="11" max="11" width="10.08203125" style="39" bestFit="1" customWidth="1"/>
    <col min="12" max="12" width="9.5" style="39" bestFit="1" customWidth="1"/>
    <col min="13" max="13" width="12.6640625" style="39" bestFit="1" customWidth="1"/>
    <col min="14" max="14" width="11.58203125" style="39" bestFit="1" customWidth="1"/>
    <col min="15" max="27" width="7.83203125" style="39" customWidth="1"/>
    <col min="28" max="28" width="10.83203125" style="39" bestFit="1" customWidth="1"/>
    <col min="29" max="29" width="17.58203125" style="39" bestFit="1" customWidth="1"/>
    <col min="30" max="16384" width="9" style="39"/>
  </cols>
  <sheetData>
    <row r="1" spans="1:29">
      <c r="F1" s="39"/>
      <c r="G1" s="73" t="s">
        <v>232</v>
      </c>
      <c r="H1" s="74">
        <v>35107.03</v>
      </c>
    </row>
    <row r="2" spans="1:29">
      <c r="D2" s="71" t="s">
        <v>231</v>
      </c>
      <c r="E2" s="72" t="s">
        <v>230</v>
      </c>
      <c r="F2" s="71" t="s">
        <v>229</v>
      </c>
      <c r="G2" s="74"/>
      <c r="H2" s="74"/>
    </row>
    <row r="3" spans="1:29" s="46" customFormat="1" ht="52">
      <c r="A3" s="42" t="s">
        <v>15</v>
      </c>
      <c r="B3" s="43" t="s">
        <v>0</v>
      </c>
      <c r="C3" s="43" t="s">
        <v>1</v>
      </c>
      <c r="D3" s="44" t="s">
        <v>2</v>
      </c>
      <c r="E3" s="44" t="s">
        <v>3</v>
      </c>
      <c r="F3" s="45" t="s">
        <v>4</v>
      </c>
      <c r="G3" s="43" t="s">
        <v>16</v>
      </c>
      <c r="H3" s="43" t="s">
        <v>37</v>
      </c>
      <c r="I3" s="42" t="s">
        <v>17</v>
      </c>
      <c r="J3" s="42" t="s">
        <v>62</v>
      </c>
      <c r="K3" s="42" t="s">
        <v>18</v>
      </c>
      <c r="L3" s="45" t="s">
        <v>19</v>
      </c>
      <c r="M3" s="42" t="s">
        <v>20</v>
      </c>
      <c r="N3" s="42" t="s">
        <v>21</v>
      </c>
      <c r="O3" s="42" t="s">
        <v>22</v>
      </c>
      <c r="P3" s="42" t="s">
        <v>23</v>
      </c>
      <c r="Q3" s="43" t="s">
        <v>24</v>
      </c>
      <c r="R3" s="43" t="s">
        <v>25</v>
      </c>
      <c r="S3" s="43" t="s">
        <v>26</v>
      </c>
      <c r="T3" s="43" t="s">
        <v>27</v>
      </c>
      <c r="U3" s="43" t="s">
        <v>28</v>
      </c>
      <c r="V3" s="43" t="s">
        <v>29</v>
      </c>
      <c r="W3" s="43" t="s">
        <v>30</v>
      </c>
      <c r="X3" s="43" t="s">
        <v>31</v>
      </c>
      <c r="Y3" s="43" t="s">
        <v>32</v>
      </c>
      <c r="Z3" s="43" t="s">
        <v>33</v>
      </c>
      <c r="AA3" s="43" t="s">
        <v>34</v>
      </c>
      <c r="AB3" s="43" t="s">
        <v>35</v>
      </c>
      <c r="AC3" s="43" t="s">
        <v>36</v>
      </c>
    </row>
    <row r="4" spans="1:29">
      <c r="A4" s="47"/>
      <c r="B4" s="47"/>
      <c r="C4" s="48"/>
      <c r="D4" s="49">
        <f t="shared" ref="D4" si="0">SUM(D6:D162)</f>
        <v>1410487.4722089998</v>
      </c>
      <c r="E4" s="49">
        <f>SUM(E6:E162)</f>
        <v>29303280.120000001</v>
      </c>
      <c r="F4" s="50">
        <f>SUM(F6:F162)</f>
        <v>27892792.647790998</v>
      </c>
      <c r="G4" s="49"/>
      <c r="H4" s="49">
        <f>+AB4</f>
        <v>27892792.647790998</v>
      </c>
      <c r="I4" s="49">
        <f>SUM(I6:I162)</f>
        <v>4190350.5568819996</v>
      </c>
      <c r="J4" s="49">
        <f>SUM(J6:J162)</f>
        <v>12985423.120000001</v>
      </c>
      <c r="K4" s="49">
        <f t="shared" ref="K4:AA4" si="1">SUM(K6:K162)</f>
        <v>1070672.553636</v>
      </c>
      <c r="L4" s="49">
        <f t="shared" si="1"/>
        <v>0</v>
      </c>
      <c r="M4" s="49">
        <f t="shared" si="1"/>
        <v>330863.63636400003</v>
      </c>
      <c r="N4" s="49">
        <f t="shared" si="1"/>
        <v>8363410.7109089997</v>
      </c>
      <c r="O4" s="49">
        <f t="shared" si="1"/>
        <v>952072.07000000007</v>
      </c>
      <c r="P4" s="49">
        <f t="shared" si="1"/>
        <v>0</v>
      </c>
      <c r="Q4" s="49">
        <f t="shared" si="1"/>
        <v>0</v>
      </c>
      <c r="R4" s="49">
        <f t="shared" si="1"/>
        <v>0</v>
      </c>
      <c r="S4" s="49">
        <f t="shared" si="1"/>
        <v>0</v>
      </c>
      <c r="T4" s="49">
        <f t="shared" si="1"/>
        <v>0</v>
      </c>
      <c r="U4" s="49">
        <f t="shared" si="1"/>
        <v>0</v>
      </c>
      <c r="V4" s="49">
        <f t="shared" si="1"/>
        <v>0</v>
      </c>
      <c r="W4" s="49">
        <f t="shared" si="1"/>
        <v>0</v>
      </c>
      <c r="X4" s="49">
        <f t="shared" si="1"/>
        <v>0</v>
      </c>
      <c r="Y4" s="49">
        <f t="shared" si="1"/>
        <v>0</v>
      </c>
      <c r="Z4" s="49">
        <f t="shared" si="1"/>
        <v>0</v>
      </c>
      <c r="AA4" s="49">
        <f t="shared" si="1"/>
        <v>0</v>
      </c>
      <c r="AB4" s="49">
        <f>SUM(I4:AA4)</f>
        <v>27892792.647790998</v>
      </c>
      <c r="AC4" s="49">
        <f>SUM(AC6:AC162)</f>
        <v>0</v>
      </c>
    </row>
    <row r="5" spans="1:29">
      <c r="A5" s="51"/>
      <c r="B5" s="51"/>
      <c r="C5" s="52"/>
      <c r="D5" s="53"/>
      <c r="E5" s="53"/>
      <c r="F5" s="54">
        <v>1</v>
      </c>
      <c r="G5" s="55"/>
      <c r="H5" s="56"/>
      <c r="I5" s="55">
        <f>+I4/$H$4</f>
        <v>0.15023058500432582</v>
      </c>
      <c r="J5" s="57"/>
      <c r="K5" s="55">
        <f t="shared" ref="K5:AC5" si="2">+K4/$H$4</f>
        <v>3.8385276338430502E-2</v>
      </c>
      <c r="L5" s="55">
        <f t="shared" si="2"/>
        <v>0</v>
      </c>
      <c r="M5" s="55">
        <f t="shared" si="2"/>
        <v>1.1861975978593996E-2</v>
      </c>
      <c r="N5" s="55">
        <f t="shared" si="2"/>
        <v>0.29984128217334843</v>
      </c>
      <c r="O5" s="55">
        <f t="shared" si="2"/>
        <v>3.4133264532599628E-2</v>
      </c>
      <c r="P5" s="55">
        <f t="shared" si="2"/>
        <v>0</v>
      </c>
      <c r="Q5" s="55">
        <f t="shared" si="2"/>
        <v>0</v>
      </c>
      <c r="R5" s="55">
        <f t="shared" si="2"/>
        <v>0</v>
      </c>
      <c r="S5" s="55">
        <f t="shared" si="2"/>
        <v>0</v>
      </c>
      <c r="T5" s="55">
        <f t="shared" si="2"/>
        <v>0</v>
      </c>
      <c r="U5" s="55">
        <f t="shared" si="2"/>
        <v>0</v>
      </c>
      <c r="V5" s="55">
        <f t="shared" si="2"/>
        <v>0</v>
      </c>
      <c r="W5" s="55">
        <f t="shared" si="2"/>
        <v>0</v>
      </c>
      <c r="X5" s="55">
        <f t="shared" si="2"/>
        <v>0</v>
      </c>
      <c r="Y5" s="55">
        <f t="shared" si="2"/>
        <v>0</v>
      </c>
      <c r="Z5" s="55">
        <f t="shared" si="2"/>
        <v>0</v>
      </c>
      <c r="AA5" s="55">
        <f t="shared" si="2"/>
        <v>0</v>
      </c>
      <c r="AB5" s="55">
        <f t="shared" si="2"/>
        <v>1</v>
      </c>
      <c r="AC5" s="57">
        <f t="shared" si="2"/>
        <v>0</v>
      </c>
    </row>
    <row r="6" spans="1:29" s="61" customFormat="1">
      <c r="A6" s="64" t="s">
        <v>77</v>
      </c>
      <c r="B6" s="64" t="s">
        <v>53</v>
      </c>
      <c r="C6" s="64" t="s">
        <v>54</v>
      </c>
      <c r="D6" s="64">
        <v>0</v>
      </c>
      <c r="E6" s="63">
        <v>1000</v>
      </c>
      <c r="F6" s="81">
        <f>+E6-D6</f>
        <v>1000</v>
      </c>
      <c r="G6" s="64" t="s">
        <v>55</v>
      </c>
      <c r="H6" s="65">
        <f>+F6</f>
        <v>1000</v>
      </c>
      <c r="I6" s="65">
        <f>+H6</f>
        <v>1000</v>
      </c>
      <c r="J6" s="64"/>
      <c r="K6" s="65"/>
      <c r="L6" s="64"/>
      <c r="M6" s="64"/>
      <c r="N6" s="64"/>
      <c r="O6" s="65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49">
        <f>SUM(I6:AA6)</f>
        <v>1000</v>
      </c>
      <c r="AC6" s="49">
        <f>+AB6-F6</f>
        <v>0</v>
      </c>
    </row>
    <row r="7" spans="1:29" s="61" customFormat="1">
      <c r="A7" s="64" t="s">
        <v>77</v>
      </c>
      <c r="B7" s="64" t="s">
        <v>78</v>
      </c>
      <c r="C7" s="64" t="s">
        <v>79</v>
      </c>
      <c r="D7" s="64">
        <v>3545.45</v>
      </c>
      <c r="E7" s="63">
        <v>39000</v>
      </c>
      <c r="F7" s="81">
        <f t="shared" ref="F7:F64" si="3">+E7-D7</f>
        <v>35454.550000000003</v>
      </c>
      <c r="G7" s="64" t="s">
        <v>8</v>
      </c>
      <c r="H7" s="65">
        <f t="shared" ref="H7:H63" si="4">+F7</f>
        <v>35454.550000000003</v>
      </c>
      <c r="I7" s="64"/>
      <c r="J7" s="64"/>
      <c r="K7" s="82">
        <f>+H7</f>
        <v>35454.550000000003</v>
      </c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49">
        <f>SUM(I7:AA7)</f>
        <v>35454.550000000003</v>
      </c>
      <c r="AC7" s="49">
        <f t="shared" ref="AC7:AC64" si="5">+AB7-F7</f>
        <v>0</v>
      </c>
    </row>
    <row r="8" spans="1:29" s="61" customFormat="1">
      <c r="A8" s="64" t="s">
        <v>77</v>
      </c>
      <c r="B8" s="64" t="s">
        <v>80</v>
      </c>
      <c r="C8" s="64" t="s">
        <v>81</v>
      </c>
      <c r="D8" s="64">
        <v>927.27272700000003</v>
      </c>
      <c r="E8" s="63">
        <v>10200</v>
      </c>
      <c r="F8" s="81">
        <f t="shared" si="3"/>
        <v>9272.7272730000004</v>
      </c>
      <c r="G8" s="64" t="s">
        <v>8</v>
      </c>
      <c r="H8" s="65">
        <f t="shared" si="4"/>
        <v>9272.7272730000004</v>
      </c>
      <c r="I8" s="65">
        <f>+H8</f>
        <v>9272.7272730000004</v>
      </c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49">
        <f t="shared" ref="AB8:AB64" si="6">SUM(I8:AA8)</f>
        <v>9272.7272730000004</v>
      </c>
      <c r="AC8" s="49">
        <f t="shared" si="5"/>
        <v>0</v>
      </c>
    </row>
    <row r="9" spans="1:29" s="61" customFormat="1">
      <c r="A9" s="64" t="s">
        <v>77</v>
      </c>
      <c r="B9" s="64" t="s">
        <v>82</v>
      </c>
      <c r="C9" s="64" t="s">
        <v>83</v>
      </c>
      <c r="D9" s="64">
        <v>0</v>
      </c>
      <c r="E9" s="63">
        <v>63500</v>
      </c>
      <c r="F9" s="81">
        <f t="shared" si="3"/>
        <v>63500</v>
      </c>
      <c r="G9" s="64" t="s">
        <v>8</v>
      </c>
      <c r="H9" s="65">
        <f t="shared" si="4"/>
        <v>63500</v>
      </c>
      <c r="I9" s="64"/>
      <c r="J9" s="65">
        <f>+H9</f>
        <v>63500</v>
      </c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49">
        <f t="shared" si="6"/>
        <v>63500</v>
      </c>
      <c r="AC9" s="49">
        <f t="shared" si="5"/>
        <v>0</v>
      </c>
    </row>
    <row r="10" spans="1:29" s="61" customFormat="1">
      <c r="A10" s="64" t="s">
        <v>77</v>
      </c>
      <c r="B10" s="64" t="s">
        <v>56</v>
      </c>
      <c r="C10" s="64" t="s">
        <v>57</v>
      </c>
      <c r="D10" s="64">
        <v>0</v>
      </c>
      <c r="E10" s="63">
        <v>2000</v>
      </c>
      <c r="F10" s="81">
        <f t="shared" si="3"/>
        <v>2000</v>
      </c>
      <c r="G10" s="64" t="s">
        <v>55</v>
      </c>
      <c r="H10" s="65">
        <f t="shared" si="4"/>
        <v>2000</v>
      </c>
      <c r="I10" s="65">
        <f>+H10</f>
        <v>2000</v>
      </c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49">
        <f t="shared" si="6"/>
        <v>2000</v>
      </c>
      <c r="AC10" s="49">
        <f t="shared" si="5"/>
        <v>0</v>
      </c>
    </row>
    <row r="11" spans="1:29" s="61" customFormat="1">
      <c r="A11" s="64" t="s">
        <v>84</v>
      </c>
      <c r="B11" s="64" t="s">
        <v>85</v>
      </c>
      <c r="C11" s="64" t="s">
        <v>86</v>
      </c>
      <c r="D11" s="64">
        <v>118181.818182</v>
      </c>
      <c r="E11" s="63">
        <v>1300000</v>
      </c>
      <c r="F11" s="81">
        <f t="shared" si="3"/>
        <v>1181818.181818</v>
      </c>
      <c r="G11" s="64" t="s">
        <v>8</v>
      </c>
      <c r="H11" s="65">
        <f t="shared" si="4"/>
        <v>1181818.181818</v>
      </c>
      <c r="I11" s="65">
        <f>+H11</f>
        <v>1181818.181818</v>
      </c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49">
        <f t="shared" si="6"/>
        <v>1181818.181818</v>
      </c>
      <c r="AC11" s="49">
        <f t="shared" si="5"/>
        <v>0</v>
      </c>
    </row>
    <row r="12" spans="1:29" s="61" customFormat="1">
      <c r="A12" s="64" t="s">
        <v>84</v>
      </c>
      <c r="B12" s="64" t="s">
        <v>87</v>
      </c>
      <c r="C12" s="64" t="s">
        <v>88</v>
      </c>
      <c r="D12" s="64">
        <v>15163.64</v>
      </c>
      <c r="E12" s="63">
        <v>166800</v>
      </c>
      <c r="F12" s="81">
        <f t="shared" si="3"/>
        <v>151636.35999999999</v>
      </c>
      <c r="G12" s="64" t="s">
        <v>8</v>
      </c>
      <c r="H12" s="65">
        <f t="shared" si="4"/>
        <v>151636.35999999999</v>
      </c>
      <c r="I12" s="65">
        <f>+H12</f>
        <v>151636.35999999999</v>
      </c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49">
        <f t="shared" si="6"/>
        <v>151636.35999999999</v>
      </c>
      <c r="AC12" s="49">
        <f t="shared" si="5"/>
        <v>0</v>
      </c>
    </row>
    <row r="13" spans="1:29" s="61" customFormat="1">
      <c r="A13" s="64" t="s">
        <v>84</v>
      </c>
      <c r="B13" s="64" t="s">
        <v>89</v>
      </c>
      <c r="C13" s="64" t="s">
        <v>90</v>
      </c>
      <c r="D13" s="64">
        <v>37285.714286000002</v>
      </c>
      <c r="E13" s="63">
        <v>417600</v>
      </c>
      <c r="F13" s="81">
        <f t="shared" si="3"/>
        <v>380314.285714</v>
      </c>
      <c r="G13" s="64" t="s">
        <v>8</v>
      </c>
      <c r="H13" s="65">
        <f t="shared" si="4"/>
        <v>380314.285714</v>
      </c>
      <c r="I13" s="65">
        <f>+H13</f>
        <v>380314.285714</v>
      </c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49">
        <f t="shared" si="6"/>
        <v>380314.285714</v>
      </c>
      <c r="AC13" s="49">
        <f t="shared" si="5"/>
        <v>0</v>
      </c>
    </row>
    <row r="14" spans="1:29" s="61" customFormat="1">
      <c r="A14" s="64" t="s">
        <v>84</v>
      </c>
      <c r="B14" s="64" t="s">
        <v>91</v>
      </c>
      <c r="C14" s="64" t="s">
        <v>92</v>
      </c>
      <c r="D14" s="64">
        <v>77100</v>
      </c>
      <c r="E14" s="63">
        <v>848100</v>
      </c>
      <c r="F14" s="81">
        <f t="shared" si="3"/>
        <v>771000</v>
      </c>
      <c r="G14" s="64" t="s">
        <v>8</v>
      </c>
      <c r="H14" s="65">
        <f t="shared" si="4"/>
        <v>771000</v>
      </c>
      <c r="I14" s="64"/>
      <c r="J14" s="64"/>
      <c r="K14" s="64"/>
      <c r="L14" s="64"/>
      <c r="M14" s="64"/>
      <c r="N14" s="64"/>
      <c r="O14" s="65">
        <f>+H14</f>
        <v>771000</v>
      </c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49">
        <f t="shared" si="6"/>
        <v>771000</v>
      </c>
      <c r="AC14" s="49">
        <f t="shared" si="5"/>
        <v>0</v>
      </c>
    </row>
    <row r="15" spans="1:29" s="61" customFormat="1">
      <c r="A15" s="64" t="s">
        <v>93</v>
      </c>
      <c r="B15" s="64" t="s">
        <v>94</v>
      </c>
      <c r="C15" s="64" t="s">
        <v>95</v>
      </c>
      <c r="D15" s="64">
        <v>9090.91</v>
      </c>
      <c r="E15" s="63">
        <v>100000</v>
      </c>
      <c r="F15" s="81">
        <f t="shared" si="3"/>
        <v>90909.09</v>
      </c>
      <c r="G15" s="64" t="s">
        <v>8</v>
      </c>
      <c r="H15" s="65">
        <f t="shared" si="4"/>
        <v>90909.09</v>
      </c>
      <c r="I15" s="65">
        <f>+H15</f>
        <v>90909.09</v>
      </c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49">
        <f t="shared" si="6"/>
        <v>90909.09</v>
      </c>
      <c r="AC15" s="49">
        <f t="shared" si="5"/>
        <v>0</v>
      </c>
    </row>
    <row r="16" spans="1:29" s="61" customFormat="1">
      <c r="A16" s="64" t="s">
        <v>96</v>
      </c>
      <c r="B16" s="64" t="s">
        <v>97</v>
      </c>
      <c r="C16" s="64" t="s">
        <v>98</v>
      </c>
      <c r="D16" s="64">
        <v>10000</v>
      </c>
      <c r="E16" s="63">
        <v>110000</v>
      </c>
      <c r="F16" s="81">
        <f t="shared" si="3"/>
        <v>100000</v>
      </c>
      <c r="G16" s="64" t="s">
        <v>8</v>
      </c>
      <c r="H16" s="65">
        <f t="shared" si="4"/>
        <v>100000</v>
      </c>
      <c r="I16" s="65">
        <f>+H16</f>
        <v>100000</v>
      </c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49">
        <f t="shared" si="6"/>
        <v>100000</v>
      </c>
      <c r="AC16" s="49">
        <f t="shared" si="5"/>
        <v>0</v>
      </c>
    </row>
    <row r="17" spans="1:29" s="61" customFormat="1">
      <c r="A17" s="64" t="s">
        <v>96</v>
      </c>
      <c r="B17" s="64" t="s">
        <v>99</v>
      </c>
      <c r="C17" s="64" t="s">
        <v>100</v>
      </c>
      <c r="D17" s="64">
        <v>26080.36</v>
      </c>
      <c r="E17" s="63">
        <v>292100</v>
      </c>
      <c r="F17" s="81">
        <f t="shared" si="3"/>
        <v>266019.64</v>
      </c>
      <c r="G17" s="64" t="s">
        <v>8</v>
      </c>
      <c r="H17" s="65">
        <f t="shared" si="4"/>
        <v>266019.64</v>
      </c>
      <c r="I17" s="64"/>
      <c r="J17" s="64"/>
      <c r="K17" s="65">
        <f>+H17</f>
        <v>266019.64</v>
      </c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49">
        <f t="shared" si="6"/>
        <v>266019.64</v>
      </c>
      <c r="AC17" s="49">
        <f t="shared" si="5"/>
        <v>0</v>
      </c>
    </row>
    <row r="18" spans="1:29" s="61" customFormat="1">
      <c r="A18" s="64" t="s">
        <v>96</v>
      </c>
      <c r="B18" s="64" t="s">
        <v>101</v>
      </c>
      <c r="C18" s="64" t="s">
        <v>102</v>
      </c>
      <c r="D18" s="64">
        <v>963.63636399999996</v>
      </c>
      <c r="E18" s="63">
        <v>10600</v>
      </c>
      <c r="F18" s="81">
        <f t="shared" si="3"/>
        <v>9636.363636</v>
      </c>
      <c r="G18" s="64" t="s">
        <v>8</v>
      </c>
      <c r="H18" s="65">
        <f t="shared" si="4"/>
        <v>9636.363636</v>
      </c>
      <c r="I18" s="64"/>
      <c r="J18" s="64"/>
      <c r="K18" s="82">
        <f>+H18</f>
        <v>9636.363636</v>
      </c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49">
        <f t="shared" si="6"/>
        <v>9636.363636</v>
      </c>
      <c r="AC18" s="49">
        <f t="shared" si="5"/>
        <v>0</v>
      </c>
    </row>
    <row r="19" spans="1:29" s="61" customFormat="1">
      <c r="A19" s="64" t="s">
        <v>96</v>
      </c>
      <c r="B19" s="64" t="s">
        <v>103</v>
      </c>
      <c r="C19" s="64" t="s">
        <v>104</v>
      </c>
      <c r="D19" s="64">
        <v>6800</v>
      </c>
      <c r="E19" s="63">
        <v>74800</v>
      </c>
      <c r="F19" s="81">
        <f t="shared" si="3"/>
        <v>68000</v>
      </c>
      <c r="G19" s="64" t="s">
        <v>8</v>
      </c>
      <c r="H19" s="65">
        <f t="shared" si="4"/>
        <v>68000</v>
      </c>
      <c r="I19" s="65">
        <f>+H19</f>
        <v>68000</v>
      </c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49">
        <f t="shared" si="6"/>
        <v>68000</v>
      </c>
      <c r="AC19" s="49">
        <f t="shared" si="5"/>
        <v>0</v>
      </c>
    </row>
    <row r="20" spans="1:29" s="61" customFormat="1">
      <c r="A20" s="64" t="s">
        <v>105</v>
      </c>
      <c r="B20" s="64" t="s">
        <v>106</v>
      </c>
      <c r="C20" s="64" t="s">
        <v>107</v>
      </c>
      <c r="D20" s="64">
        <v>28839.29</v>
      </c>
      <c r="E20" s="63">
        <v>323000</v>
      </c>
      <c r="F20" s="81">
        <f t="shared" si="3"/>
        <v>294160.71000000002</v>
      </c>
      <c r="G20" s="64" t="s">
        <v>8</v>
      </c>
      <c r="H20" s="65">
        <f t="shared" si="4"/>
        <v>294160.71000000002</v>
      </c>
      <c r="I20" s="64"/>
      <c r="J20" s="64"/>
      <c r="K20" s="64"/>
      <c r="L20" s="64"/>
      <c r="M20" s="64"/>
      <c r="N20" s="65">
        <f>+H20</f>
        <v>294160.71000000002</v>
      </c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49">
        <f t="shared" si="6"/>
        <v>294160.71000000002</v>
      </c>
      <c r="AC20" s="49">
        <f t="shared" si="5"/>
        <v>0</v>
      </c>
    </row>
    <row r="21" spans="1:29" s="61" customFormat="1">
      <c r="A21" s="64" t="s">
        <v>105</v>
      </c>
      <c r="B21" s="64" t="s">
        <v>103</v>
      </c>
      <c r="C21" s="64" t="s">
        <v>104</v>
      </c>
      <c r="D21" s="64">
        <v>3372.73</v>
      </c>
      <c r="E21" s="63">
        <v>37100</v>
      </c>
      <c r="F21" s="81">
        <f t="shared" si="3"/>
        <v>33727.269999999997</v>
      </c>
      <c r="G21" s="64" t="s">
        <v>8</v>
      </c>
      <c r="H21" s="65">
        <f t="shared" si="4"/>
        <v>33727.269999999997</v>
      </c>
      <c r="I21" s="65">
        <f>+H21</f>
        <v>33727.269999999997</v>
      </c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49">
        <f t="shared" si="6"/>
        <v>33727.269999999997</v>
      </c>
      <c r="AC21" s="49">
        <f t="shared" si="5"/>
        <v>0</v>
      </c>
    </row>
    <row r="22" spans="1:29" s="61" customFormat="1">
      <c r="A22" s="64" t="s">
        <v>105</v>
      </c>
      <c r="B22" s="64" t="s">
        <v>103</v>
      </c>
      <c r="C22" s="64" t="s">
        <v>104</v>
      </c>
      <c r="D22" s="64">
        <v>15454.55</v>
      </c>
      <c r="E22" s="63">
        <v>170000</v>
      </c>
      <c r="F22" s="81">
        <f t="shared" si="3"/>
        <v>154545.45000000001</v>
      </c>
      <c r="G22" s="64" t="s">
        <v>8</v>
      </c>
      <c r="H22" s="65">
        <f t="shared" si="4"/>
        <v>154545.45000000001</v>
      </c>
      <c r="I22" s="65">
        <f t="shared" ref="I22:I24" si="7">+H22</f>
        <v>154545.45000000001</v>
      </c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49">
        <f t="shared" si="6"/>
        <v>154545.45000000001</v>
      </c>
      <c r="AC22" s="49">
        <f t="shared" si="5"/>
        <v>0</v>
      </c>
    </row>
    <row r="23" spans="1:29" s="61" customFormat="1">
      <c r="A23" s="64" t="s">
        <v>105</v>
      </c>
      <c r="B23" s="64" t="s">
        <v>103</v>
      </c>
      <c r="C23" s="64" t="s">
        <v>104</v>
      </c>
      <c r="D23" s="64">
        <v>15454.55</v>
      </c>
      <c r="E23" s="63">
        <v>170000</v>
      </c>
      <c r="F23" s="81">
        <f t="shared" si="3"/>
        <v>154545.45000000001</v>
      </c>
      <c r="G23" s="64" t="s">
        <v>8</v>
      </c>
      <c r="H23" s="65">
        <f t="shared" si="4"/>
        <v>154545.45000000001</v>
      </c>
      <c r="I23" s="65">
        <f t="shared" si="7"/>
        <v>154545.45000000001</v>
      </c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49">
        <f t="shared" si="6"/>
        <v>154545.45000000001</v>
      </c>
      <c r="AC23" s="49">
        <f t="shared" si="5"/>
        <v>0</v>
      </c>
    </row>
    <row r="24" spans="1:29" s="61" customFormat="1">
      <c r="A24" s="64" t="s">
        <v>105</v>
      </c>
      <c r="B24" s="64" t="s">
        <v>103</v>
      </c>
      <c r="C24" s="64" t="s">
        <v>104</v>
      </c>
      <c r="D24" s="64">
        <v>4727.2700000000004</v>
      </c>
      <c r="E24" s="63">
        <v>52000</v>
      </c>
      <c r="F24" s="81">
        <f t="shared" si="3"/>
        <v>47272.729999999996</v>
      </c>
      <c r="G24" s="64" t="s">
        <v>8</v>
      </c>
      <c r="H24" s="65">
        <f t="shared" si="4"/>
        <v>47272.729999999996</v>
      </c>
      <c r="I24" s="65">
        <f t="shared" si="7"/>
        <v>47272.729999999996</v>
      </c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49">
        <f t="shared" si="6"/>
        <v>47272.729999999996</v>
      </c>
      <c r="AC24" s="49">
        <f t="shared" si="5"/>
        <v>0</v>
      </c>
    </row>
    <row r="25" spans="1:29" s="61" customFormat="1">
      <c r="A25" s="64" t="s">
        <v>108</v>
      </c>
      <c r="B25" s="64" t="s">
        <v>109</v>
      </c>
      <c r="C25" s="64" t="s">
        <v>110</v>
      </c>
      <c r="D25" s="64">
        <v>6818.181818</v>
      </c>
      <c r="E25" s="63">
        <v>75000</v>
      </c>
      <c r="F25" s="81">
        <f t="shared" si="3"/>
        <v>68181.818182000003</v>
      </c>
      <c r="G25" s="64" t="s">
        <v>8</v>
      </c>
      <c r="H25" s="65">
        <f t="shared" si="4"/>
        <v>68181.818182000003</v>
      </c>
      <c r="I25" s="65"/>
      <c r="J25" s="64"/>
      <c r="K25" s="65">
        <f>+H25</f>
        <v>68181.818182000003</v>
      </c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49">
        <f t="shared" si="6"/>
        <v>68181.818182000003</v>
      </c>
      <c r="AC25" s="49">
        <f t="shared" si="5"/>
        <v>0</v>
      </c>
    </row>
    <row r="26" spans="1:29" s="61" customFormat="1">
      <c r="A26" s="64" t="s">
        <v>108</v>
      </c>
      <c r="B26" s="64" t="s">
        <v>111</v>
      </c>
      <c r="C26" s="64" t="s">
        <v>112</v>
      </c>
      <c r="D26" s="64">
        <v>181818.18181800001</v>
      </c>
      <c r="E26" s="63">
        <v>2000000</v>
      </c>
      <c r="F26" s="81">
        <f t="shared" si="3"/>
        <v>1818181.818182</v>
      </c>
      <c r="G26" s="64" t="s">
        <v>8</v>
      </c>
      <c r="H26" s="65">
        <f t="shared" si="4"/>
        <v>1818181.818182</v>
      </c>
      <c r="I26" s="64"/>
      <c r="J26" s="64"/>
      <c r="K26" s="64"/>
      <c r="L26" s="64"/>
      <c r="M26" s="64"/>
      <c r="N26" s="82">
        <f>+H26</f>
        <v>1818181.818182</v>
      </c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49">
        <f t="shared" si="6"/>
        <v>1818181.818182</v>
      </c>
      <c r="AC26" s="49">
        <f t="shared" si="5"/>
        <v>0</v>
      </c>
    </row>
    <row r="27" spans="1:29" s="61" customFormat="1">
      <c r="A27" s="64" t="s">
        <v>108</v>
      </c>
      <c r="B27" s="64" t="s">
        <v>64</v>
      </c>
      <c r="C27" s="64" t="s">
        <v>65</v>
      </c>
      <c r="D27" s="64">
        <v>0</v>
      </c>
      <c r="E27" s="63">
        <v>24813.55</v>
      </c>
      <c r="F27" s="81">
        <f t="shared" si="3"/>
        <v>24813.55</v>
      </c>
      <c r="G27" s="64" t="s">
        <v>55</v>
      </c>
      <c r="H27" s="65">
        <f t="shared" si="4"/>
        <v>24813.55</v>
      </c>
      <c r="I27" s="64"/>
      <c r="J27" s="65">
        <f t="shared" ref="J27:J28" si="8">+H27</f>
        <v>24813.55</v>
      </c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49">
        <f t="shared" si="6"/>
        <v>24813.55</v>
      </c>
      <c r="AC27" s="49">
        <f t="shared" si="5"/>
        <v>0</v>
      </c>
    </row>
    <row r="28" spans="1:29" s="61" customFormat="1">
      <c r="A28" s="64" t="s">
        <v>108</v>
      </c>
      <c r="B28" s="64" t="s">
        <v>64</v>
      </c>
      <c r="C28" s="64" t="s">
        <v>65</v>
      </c>
      <c r="D28" s="64">
        <v>0</v>
      </c>
      <c r="E28" s="63">
        <v>8944895.8200000003</v>
      </c>
      <c r="F28" s="81">
        <f t="shared" si="3"/>
        <v>8944895.8200000003</v>
      </c>
      <c r="G28" s="64" t="s">
        <v>55</v>
      </c>
      <c r="H28" s="65">
        <f t="shared" si="4"/>
        <v>8944895.8200000003</v>
      </c>
      <c r="I28" s="64"/>
      <c r="J28" s="65">
        <f t="shared" si="8"/>
        <v>8944895.8200000003</v>
      </c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49">
        <f t="shared" si="6"/>
        <v>8944895.8200000003</v>
      </c>
      <c r="AC28" s="49">
        <f t="shared" si="5"/>
        <v>0</v>
      </c>
    </row>
    <row r="29" spans="1:29" s="61" customFormat="1">
      <c r="A29" s="64" t="s">
        <v>113</v>
      </c>
      <c r="B29" s="64" t="s">
        <v>114</v>
      </c>
      <c r="C29" s="64" t="s">
        <v>115</v>
      </c>
      <c r="D29" s="64">
        <v>0</v>
      </c>
      <c r="E29" s="63">
        <v>30020</v>
      </c>
      <c r="F29" s="81">
        <f t="shared" si="3"/>
        <v>30020</v>
      </c>
      <c r="G29" s="64" t="s">
        <v>55</v>
      </c>
      <c r="H29" s="65">
        <f t="shared" si="4"/>
        <v>30020</v>
      </c>
      <c r="I29" s="65">
        <f>+H29</f>
        <v>30020</v>
      </c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49">
        <f t="shared" si="6"/>
        <v>30020</v>
      </c>
      <c r="AC29" s="49">
        <f t="shared" si="5"/>
        <v>0</v>
      </c>
    </row>
    <row r="30" spans="1:29" s="61" customFormat="1">
      <c r="A30" s="64" t="s">
        <v>113</v>
      </c>
      <c r="B30" s="64" t="s">
        <v>114</v>
      </c>
      <c r="C30" s="64" t="s">
        <v>115</v>
      </c>
      <c r="D30" s="64">
        <v>15081.006493999999</v>
      </c>
      <c r="E30" s="63">
        <v>168150</v>
      </c>
      <c r="F30" s="81">
        <f t="shared" si="3"/>
        <v>153068.993506</v>
      </c>
      <c r="G30" s="64" t="s">
        <v>8</v>
      </c>
      <c r="H30" s="65">
        <f t="shared" si="4"/>
        <v>153068.993506</v>
      </c>
      <c r="I30" s="65">
        <f>+H30</f>
        <v>153068.993506</v>
      </c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49">
        <f t="shared" si="6"/>
        <v>153068.993506</v>
      </c>
      <c r="AC30" s="49">
        <f t="shared" si="5"/>
        <v>0</v>
      </c>
    </row>
    <row r="31" spans="1:29" s="61" customFormat="1">
      <c r="A31" s="64" t="s">
        <v>113</v>
      </c>
      <c r="B31" s="64" t="s">
        <v>10</v>
      </c>
      <c r="C31" s="64" t="s">
        <v>11</v>
      </c>
      <c r="D31" s="64">
        <v>15120.91</v>
      </c>
      <c r="E31" s="63">
        <v>166330</v>
      </c>
      <c r="F31" s="81">
        <f t="shared" si="3"/>
        <v>151209.09</v>
      </c>
      <c r="G31" s="64" t="s">
        <v>8</v>
      </c>
      <c r="H31" s="65">
        <f t="shared" si="4"/>
        <v>151209.09</v>
      </c>
      <c r="I31" s="65">
        <f>+H31</f>
        <v>151209.09</v>
      </c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49">
        <f t="shared" si="6"/>
        <v>151209.09</v>
      </c>
      <c r="AC31" s="49">
        <f t="shared" si="5"/>
        <v>0</v>
      </c>
    </row>
    <row r="32" spans="1:29" s="61" customFormat="1">
      <c r="A32" s="64" t="s">
        <v>113</v>
      </c>
      <c r="B32" s="64" t="s">
        <v>116</v>
      </c>
      <c r="C32" s="64" t="s">
        <v>117</v>
      </c>
      <c r="D32" s="64">
        <v>0</v>
      </c>
      <c r="E32" s="63">
        <v>49500</v>
      </c>
      <c r="F32" s="81">
        <f t="shared" si="3"/>
        <v>49500</v>
      </c>
      <c r="G32" s="64" t="s">
        <v>55</v>
      </c>
      <c r="H32" s="65">
        <f t="shared" si="4"/>
        <v>49500</v>
      </c>
      <c r="I32" s="64"/>
      <c r="J32" s="64"/>
      <c r="K32" s="64"/>
      <c r="L32" s="64"/>
      <c r="M32" s="82">
        <f>+H32</f>
        <v>49500</v>
      </c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49">
        <f t="shared" si="6"/>
        <v>49500</v>
      </c>
      <c r="AC32" s="49">
        <f t="shared" si="5"/>
        <v>0</v>
      </c>
    </row>
    <row r="33" spans="1:29" s="61" customFormat="1">
      <c r="A33" s="64" t="s">
        <v>118</v>
      </c>
      <c r="B33" s="64" t="s">
        <v>119</v>
      </c>
      <c r="C33" s="64" t="s">
        <v>120</v>
      </c>
      <c r="D33" s="64">
        <v>22434.55</v>
      </c>
      <c r="E33" s="63">
        <v>246780</v>
      </c>
      <c r="F33" s="81">
        <f t="shared" si="3"/>
        <v>224345.45</v>
      </c>
      <c r="G33" s="64" t="s">
        <v>8</v>
      </c>
      <c r="H33" s="65">
        <f t="shared" si="4"/>
        <v>224345.45</v>
      </c>
      <c r="I33" s="65">
        <f>+H33</f>
        <v>224345.45</v>
      </c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49">
        <f t="shared" si="6"/>
        <v>224345.45</v>
      </c>
      <c r="AC33" s="49">
        <f t="shared" si="5"/>
        <v>0</v>
      </c>
    </row>
    <row r="34" spans="1:29" s="61" customFormat="1">
      <c r="A34" s="64" t="s">
        <v>118</v>
      </c>
      <c r="B34" s="64" t="s">
        <v>103</v>
      </c>
      <c r="C34" s="64" t="s">
        <v>104</v>
      </c>
      <c r="D34" s="64">
        <v>1662.91</v>
      </c>
      <c r="E34" s="63">
        <v>18292</v>
      </c>
      <c r="F34" s="81">
        <f t="shared" si="3"/>
        <v>16629.09</v>
      </c>
      <c r="G34" s="64" t="s">
        <v>8</v>
      </c>
      <c r="H34" s="65">
        <f t="shared" si="4"/>
        <v>16629.09</v>
      </c>
      <c r="I34" s="65">
        <f t="shared" ref="I34:I35" si="9">+H34</f>
        <v>16629.09</v>
      </c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49">
        <f t="shared" si="6"/>
        <v>16629.09</v>
      </c>
      <c r="AC34" s="49">
        <f t="shared" si="5"/>
        <v>0</v>
      </c>
    </row>
    <row r="35" spans="1:29" s="61" customFormat="1">
      <c r="A35" s="64" t="s">
        <v>121</v>
      </c>
      <c r="B35" s="64" t="s">
        <v>103</v>
      </c>
      <c r="C35" s="64" t="s">
        <v>104</v>
      </c>
      <c r="D35" s="64">
        <v>1727.27</v>
      </c>
      <c r="E35" s="63">
        <v>19000</v>
      </c>
      <c r="F35" s="81">
        <f t="shared" si="3"/>
        <v>17272.73</v>
      </c>
      <c r="G35" s="64" t="s">
        <v>8</v>
      </c>
      <c r="H35" s="65">
        <f t="shared" si="4"/>
        <v>17272.73</v>
      </c>
      <c r="I35" s="65">
        <f t="shared" si="9"/>
        <v>17272.73</v>
      </c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49">
        <f t="shared" si="6"/>
        <v>17272.73</v>
      </c>
      <c r="AC35" s="49">
        <f t="shared" si="5"/>
        <v>0</v>
      </c>
    </row>
    <row r="36" spans="1:29" s="61" customFormat="1">
      <c r="A36" s="64" t="s">
        <v>121</v>
      </c>
      <c r="B36" s="64" t="s">
        <v>122</v>
      </c>
      <c r="C36" s="64" t="s">
        <v>123</v>
      </c>
      <c r="D36" s="64">
        <v>17927.93</v>
      </c>
      <c r="E36" s="63">
        <v>199000</v>
      </c>
      <c r="F36" s="81">
        <f t="shared" si="3"/>
        <v>181072.07</v>
      </c>
      <c r="G36" s="64" t="s">
        <v>8</v>
      </c>
      <c r="H36" s="65">
        <f t="shared" si="4"/>
        <v>181072.07</v>
      </c>
      <c r="I36" s="64"/>
      <c r="J36" s="64"/>
      <c r="K36" s="64"/>
      <c r="L36" s="64"/>
      <c r="M36" s="64"/>
      <c r="N36" s="64"/>
      <c r="O36" s="65">
        <f>+H36</f>
        <v>181072.07</v>
      </c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49">
        <f t="shared" si="6"/>
        <v>181072.07</v>
      </c>
      <c r="AC36" s="49">
        <f t="shared" si="5"/>
        <v>0</v>
      </c>
    </row>
    <row r="37" spans="1:29" s="61" customFormat="1">
      <c r="A37" s="64" t="s">
        <v>124</v>
      </c>
      <c r="B37" s="64" t="s">
        <v>94</v>
      </c>
      <c r="C37" s="64" t="s">
        <v>95</v>
      </c>
      <c r="D37" s="64">
        <v>4545.45</v>
      </c>
      <c r="E37" s="63">
        <v>50000</v>
      </c>
      <c r="F37" s="81">
        <f t="shared" si="3"/>
        <v>45454.55</v>
      </c>
      <c r="G37" s="64" t="s">
        <v>8</v>
      </c>
      <c r="H37" s="65">
        <f t="shared" si="4"/>
        <v>45454.55</v>
      </c>
      <c r="I37" s="65">
        <f>+H37</f>
        <v>45454.55</v>
      </c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49">
        <f t="shared" si="6"/>
        <v>45454.55</v>
      </c>
      <c r="AC37" s="49">
        <f t="shared" si="5"/>
        <v>0</v>
      </c>
    </row>
    <row r="38" spans="1:29" s="61" customFormat="1">
      <c r="A38" s="64" t="s">
        <v>124</v>
      </c>
      <c r="B38" s="64" t="s">
        <v>103</v>
      </c>
      <c r="C38" s="64" t="s">
        <v>104</v>
      </c>
      <c r="D38" s="64">
        <v>3409.09</v>
      </c>
      <c r="E38" s="63">
        <v>37500</v>
      </c>
      <c r="F38" s="81">
        <f t="shared" si="3"/>
        <v>34090.910000000003</v>
      </c>
      <c r="G38" s="64" t="s">
        <v>8</v>
      </c>
      <c r="H38" s="65">
        <f t="shared" si="4"/>
        <v>34090.910000000003</v>
      </c>
      <c r="I38" s="65">
        <f t="shared" ref="I38" si="10">+H38</f>
        <v>34090.910000000003</v>
      </c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49">
        <f t="shared" si="6"/>
        <v>34090.910000000003</v>
      </c>
      <c r="AC38" s="49">
        <f t="shared" si="5"/>
        <v>0</v>
      </c>
    </row>
    <row r="39" spans="1:29" s="61" customFormat="1">
      <c r="A39" s="64" t="s">
        <v>124</v>
      </c>
      <c r="B39" s="64" t="s">
        <v>125</v>
      </c>
      <c r="C39" s="64" t="s">
        <v>126</v>
      </c>
      <c r="D39" s="64">
        <v>0</v>
      </c>
      <c r="E39" s="63">
        <v>117136</v>
      </c>
      <c r="F39" s="81">
        <f t="shared" si="3"/>
        <v>117136</v>
      </c>
      <c r="G39" s="64" t="s">
        <v>55</v>
      </c>
      <c r="H39" s="65">
        <f t="shared" si="4"/>
        <v>117136</v>
      </c>
      <c r="I39" s="65">
        <f>+H39</f>
        <v>117136</v>
      </c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49">
        <f t="shared" si="6"/>
        <v>117136</v>
      </c>
      <c r="AC39" s="49">
        <f t="shared" si="5"/>
        <v>0</v>
      </c>
    </row>
    <row r="40" spans="1:29" s="61" customFormat="1">
      <c r="A40" s="64" t="s">
        <v>127</v>
      </c>
      <c r="B40" s="64" t="s">
        <v>128</v>
      </c>
      <c r="C40" s="64" t="s">
        <v>129</v>
      </c>
      <c r="D40" s="64">
        <v>26272.73</v>
      </c>
      <c r="E40" s="63">
        <v>289000</v>
      </c>
      <c r="F40" s="81">
        <f t="shared" si="3"/>
        <v>262727.27</v>
      </c>
      <c r="G40" s="64" t="s">
        <v>8</v>
      </c>
      <c r="H40" s="65">
        <f t="shared" si="4"/>
        <v>262727.27</v>
      </c>
      <c r="I40" s="65">
        <f>+H40</f>
        <v>262727.27</v>
      </c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49">
        <f t="shared" si="6"/>
        <v>262727.27</v>
      </c>
      <c r="AC40" s="49">
        <f t="shared" si="5"/>
        <v>0</v>
      </c>
    </row>
    <row r="41" spans="1:29" s="61" customFormat="1">
      <c r="A41" s="64" t="s">
        <v>127</v>
      </c>
      <c r="B41" s="64" t="s">
        <v>80</v>
      </c>
      <c r="C41" s="64" t="s">
        <v>81</v>
      </c>
      <c r="D41" s="64">
        <v>2836.363636</v>
      </c>
      <c r="E41" s="63">
        <v>31200</v>
      </c>
      <c r="F41" s="81">
        <f t="shared" si="3"/>
        <v>28363.636363999998</v>
      </c>
      <c r="G41" s="64" t="s">
        <v>8</v>
      </c>
      <c r="H41" s="65">
        <f t="shared" si="4"/>
        <v>28363.636363999998</v>
      </c>
      <c r="I41" s="64"/>
      <c r="J41" s="64"/>
      <c r="K41" s="64"/>
      <c r="L41" s="64"/>
      <c r="M41" s="65">
        <f>+H41</f>
        <v>28363.636363999998</v>
      </c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49">
        <f t="shared" si="6"/>
        <v>28363.636363999998</v>
      </c>
      <c r="AC41" s="49">
        <f t="shared" si="5"/>
        <v>0</v>
      </c>
    </row>
    <row r="42" spans="1:29" s="61" customFormat="1">
      <c r="A42" s="64" t="s">
        <v>127</v>
      </c>
      <c r="B42" s="64" t="s">
        <v>111</v>
      </c>
      <c r="C42" s="64" t="s">
        <v>112</v>
      </c>
      <c r="D42" s="64">
        <v>577272.72727300005</v>
      </c>
      <c r="E42" s="63">
        <v>6350000</v>
      </c>
      <c r="F42" s="81">
        <f t="shared" si="3"/>
        <v>5772727.2727269996</v>
      </c>
      <c r="G42" s="64" t="s">
        <v>8</v>
      </c>
      <c r="H42" s="65">
        <f t="shared" si="4"/>
        <v>5772727.2727269996</v>
      </c>
      <c r="I42" s="64"/>
      <c r="J42" s="64"/>
      <c r="K42" s="64"/>
      <c r="L42" s="64"/>
      <c r="M42" s="64"/>
      <c r="N42" s="82">
        <f>+H42</f>
        <v>5772727.2727269996</v>
      </c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49">
        <f t="shared" si="6"/>
        <v>5772727.2727269996</v>
      </c>
      <c r="AC42" s="49">
        <f t="shared" si="5"/>
        <v>0</v>
      </c>
    </row>
    <row r="43" spans="1:29" s="61" customFormat="1">
      <c r="A43" s="64" t="s">
        <v>127</v>
      </c>
      <c r="B43" s="64" t="s">
        <v>130</v>
      </c>
      <c r="C43" s="64" t="s">
        <v>131</v>
      </c>
      <c r="D43" s="64">
        <v>6283.6364000000003</v>
      </c>
      <c r="E43" s="63">
        <v>69120</v>
      </c>
      <c r="F43" s="81">
        <f t="shared" si="3"/>
        <v>62836.363599999997</v>
      </c>
      <c r="G43" s="64" t="s">
        <v>8</v>
      </c>
      <c r="H43" s="65">
        <f t="shared" si="4"/>
        <v>62836.363599999997</v>
      </c>
      <c r="I43" s="64"/>
      <c r="J43" s="64"/>
      <c r="K43" s="65">
        <f>+H43</f>
        <v>62836.363599999997</v>
      </c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49">
        <f t="shared" si="6"/>
        <v>62836.363599999997</v>
      </c>
      <c r="AC43" s="49">
        <f t="shared" si="5"/>
        <v>0</v>
      </c>
    </row>
    <row r="44" spans="1:29" s="61" customFormat="1">
      <c r="A44" s="64" t="s">
        <v>127</v>
      </c>
      <c r="B44" s="64" t="s">
        <v>130</v>
      </c>
      <c r="C44" s="64" t="s">
        <v>131</v>
      </c>
      <c r="D44" s="64">
        <v>23686.363600000001</v>
      </c>
      <c r="E44" s="63">
        <v>260550</v>
      </c>
      <c r="F44" s="81">
        <f t="shared" si="3"/>
        <v>236863.63639999999</v>
      </c>
      <c r="G44" s="64" t="s">
        <v>8</v>
      </c>
      <c r="H44" s="65">
        <f t="shared" si="4"/>
        <v>236863.63639999999</v>
      </c>
      <c r="I44" s="64"/>
      <c r="J44" s="64"/>
      <c r="K44" s="65">
        <f>+H44</f>
        <v>236863.63639999999</v>
      </c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49">
        <f t="shared" si="6"/>
        <v>236863.63639999999</v>
      </c>
      <c r="AC44" s="49">
        <f t="shared" si="5"/>
        <v>0</v>
      </c>
    </row>
    <row r="45" spans="1:29" s="61" customFormat="1">
      <c r="A45" s="64" t="s">
        <v>132</v>
      </c>
      <c r="B45" s="64" t="s">
        <v>103</v>
      </c>
      <c r="C45" s="64" t="s">
        <v>104</v>
      </c>
      <c r="D45" s="64">
        <v>3827.27</v>
      </c>
      <c r="E45" s="63">
        <v>42100</v>
      </c>
      <c r="F45" s="81">
        <f t="shared" si="3"/>
        <v>38272.730000000003</v>
      </c>
      <c r="G45" s="64" t="s">
        <v>8</v>
      </c>
      <c r="H45" s="65">
        <f t="shared" si="4"/>
        <v>38272.730000000003</v>
      </c>
      <c r="I45" s="65">
        <f t="shared" ref="I45" si="11">+H45</f>
        <v>38272.730000000003</v>
      </c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49">
        <f t="shared" si="6"/>
        <v>38272.730000000003</v>
      </c>
      <c r="AC45" s="49">
        <f t="shared" si="5"/>
        <v>0</v>
      </c>
    </row>
    <row r="46" spans="1:29" s="61" customFormat="1">
      <c r="A46" s="64" t="s">
        <v>132</v>
      </c>
      <c r="B46" s="64" t="s">
        <v>59</v>
      </c>
      <c r="C46" s="64" t="s">
        <v>60</v>
      </c>
      <c r="D46" s="64">
        <v>0</v>
      </c>
      <c r="E46" s="63">
        <v>3952213.75</v>
      </c>
      <c r="F46" s="81">
        <f t="shared" si="3"/>
        <v>3952213.75</v>
      </c>
      <c r="G46" s="64" t="s">
        <v>55</v>
      </c>
      <c r="H46" s="65">
        <f t="shared" si="4"/>
        <v>3952213.75</v>
      </c>
      <c r="I46" s="64"/>
      <c r="J46" s="65">
        <f>+H46</f>
        <v>3952213.75</v>
      </c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49">
        <f t="shared" si="6"/>
        <v>3952213.75</v>
      </c>
      <c r="AC46" s="49">
        <f t="shared" si="5"/>
        <v>0</v>
      </c>
    </row>
    <row r="47" spans="1:29" s="61" customFormat="1">
      <c r="A47" s="64" t="s">
        <v>132</v>
      </c>
      <c r="B47" s="64" t="s">
        <v>133</v>
      </c>
      <c r="C47" s="64" t="s">
        <v>134</v>
      </c>
      <c r="D47" s="64">
        <v>34359.089999999997</v>
      </c>
      <c r="E47" s="63">
        <v>381200</v>
      </c>
      <c r="F47" s="81">
        <f t="shared" si="3"/>
        <v>346840.91000000003</v>
      </c>
      <c r="G47" s="64" t="s">
        <v>8</v>
      </c>
      <c r="H47" s="65">
        <f t="shared" si="4"/>
        <v>346840.91000000003</v>
      </c>
      <c r="I47" s="64"/>
      <c r="J47" s="64"/>
      <c r="K47" s="64"/>
      <c r="L47" s="64"/>
      <c r="M47" s="64"/>
      <c r="N47" s="65">
        <f>+H47</f>
        <v>346840.91000000003</v>
      </c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49">
        <f t="shared" si="6"/>
        <v>346840.91000000003</v>
      </c>
      <c r="AC47" s="49">
        <f t="shared" si="5"/>
        <v>0</v>
      </c>
    </row>
    <row r="48" spans="1:29" s="61" customFormat="1">
      <c r="A48" s="64" t="s">
        <v>132</v>
      </c>
      <c r="B48" s="64" t="s">
        <v>135</v>
      </c>
      <c r="C48" s="64" t="s">
        <v>136</v>
      </c>
      <c r="D48" s="64">
        <v>3991.0714290000001</v>
      </c>
      <c r="E48" s="63">
        <v>44700</v>
      </c>
      <c r="F48" s="81">
        <f t="shared" si="3"/>
        <v>40708.928570999997</v>
      </c>
      <c r="G48" s="64" t="s">
        <v>8</v>
      </c>
      <c r="H48" s="65">
        <f t="shared" si="4"/>
        <v>40708.928570999997</v>
      </c>
      <c r="I48" s="65">
        <f>+H48</f>
        <v>40708.928570999997</v>
      </c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49">
        <f t="shared" si="6"/>
        <v>40708.928570999997</v>
      </c>
      <c r="AC48" s="49">
        <f t="shared" si="5"/>
        <v>0</v>
      </c>
    </row>
    <row r="49" spans="1:29" s="61" customFormat="1">
      <c r="A49" s="64" t="s">
        <v>132</v>
      </c>
      <c r="B49" s="64" t="s">
        <v>137</v>
      </c>
      <c r="C49" s="64" t="s">
        <v>138</v>
      </c>
      <c r="D49" s="64">
        <v>5000</v>
      </c>
      <c r="E49" s="63">
        <v>55000</v>
      </c>
      <c r="F49" s="81">
        <f t="shared" si="3"/>
        <v>50000</v>
      </c>
      <c r="G49" s="64" t="s">
        <v>8</v>
      </c>
      <c r="H49" s="65">
        <f t="shared" si="4"/>
        <v>50000</v>
      </c>
      <c r="I49" s="65">
        <f>+H49</f>
        <v>50000</v>
      </c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49">
        <f t="shared" si="6"/>
        <v>50000</v>
      </c>
      <c r="AC49" s="49">
        <f t="shared" si="5"/>
        <v>0</v>
      </c>
    </row>
    <row r="50" spans="1:29" s="61" customFormat="1">
      <c r="A50" s="64" t="s">
        <v>139</v>
      </c>
      <c r="B50" s="64" t="s">
        <v>140</v>
      </c>
      <c r="C50" s="64" t="s">
        <v>141</v>
      </c>
      <c r="D50" s="64">
        <v>0</v>
      </c>
      <c r="E50" s="63">
        <v>45000</v>
      </c>
      <c r="F50" s="81">
        <f t="shared" si="3"/>
        <v>45000</v>
      </c>
      <c r="G50" s="64" t="s">
        <v>55</v>
      </c>
      <c r="H50" s="65">
        <f t="shared" si="4"/>
        <v>45000</v>
      </c>
      <c r="I50" s="64"/>
      <c r="J50" s="64"/>
      <c r="K50" s="64"/>
      <c r="L50" s="64"/>
      <c r="M50" s="82">
        <f>+H50</f>
        <v>45000</v>
      </c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49">
        <f t="shared" si="6"/>
        <v>45000</v>
      </c>
      <c r="AC50" s="49">
        <f t="shared" si="5"/>
        <v>0</v>
      </c>
    </row>
    <row r="51" spans="1:29" s="61" customFormat="1">
      <c r="A51" s="64" t="s">
        <v>139</v>
      </c>
      <c r="B51" s="64" t="s">
        <v>103</v>
      </c>
      <c r="C51" s="64" t="s">
        <v>104</v>
      </c>
      <c r="D51" s="64">
        <v>5890.91</v>
      </c>
      <c r="E51" s="63">
        <v>64800</v>
      </c>
      <c r="F51" s="81">
        <f t="shared" si="3"/>
        <v>58909.09</v>
      </c>
      <c r="G51" s="64" t="s">
        <v>8</v>
      </c>
      <c r="H51" s="65">
        <f t="shared" si="4"/>
        <v>58909.09</v>
      </c>
      <c r="I51" s="65">
        <f t="shared" ref="I51:I52" si="12">+H51</f>
        <v>58909.09</v>
      </c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49">
        <f t="shared" si="6"/>
        <v>58909.09</v>
      </c>
      <c r="AC51" s="49">
        <f t="shared" si="5"/>
        <v>0</v>
      </c>
    </row>
    <row r="52" spans="1:29" s="61" customFormat="1">
      <c r="A52" s="64" t="s">
        <v>142</v>
      </c>
      <c r="B52" s="64" t="s">
        <v>143</v>
      </c>
      <c r="C52" s="64" t="s">
        <v>144</v>
      </c>
      <c r="D52" s="64">
        <v>42830.09</v>
      </c>
      <c r="E52" s="63">
        <v>479697</v>
      </c>
      <c r="F52" s="81">
        <f t="shared" si="3"/>
        <v>436866.91000000003</v>
      </c>
      <c r="G52" s="64" t="s">
        <v>8</v>
      </c>
      <c r="H52" s="65">
        <f t="shared" si="4"/>
        <v>436866.91000000003</v>
      </c>
      <c r="I52" s="65">
        <f t="shared" si="12"/>
        <v>436866.91000000003</v>
      </c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49">
        <f t="shared" si="6"/>
        <v>436866.91000000003</v>
      </c>
      <c r="AC52" s="49">
        <f t="shared" si="5"/>
        <v>0</v>
      </c>
    </row>
    <row r="53" spans="1:29" s="61" customFormat="1">
      <c r="A53" s="64" t="s">
        <v>142</v>
      </c>
      <c r="B53" s="64" t="s">
        <v>145</v>
      </c>
      <c r="C53" s="64" t="s">
        <v>146</v>
      </c>
      <c r="D53" s="64">
        <v>2613.64</v>
      </c>
      <c r="E53" s="63">
        <v>28750</v>
      </c>
      <c r="F53" s="81">
        <f t="shared" si="3"/>
        <v>26136.36</v>
      </c>
      <c r="G53" s="64" t="s">
        <v>8</v>
      </c>
      <c r="H53" s="65">
        <f t="shared" si="4"/>
        <v>26136.36</v>
      </c>
      <c r="I53" s="65">
        <f>+H53</f>
        <v>26136.36</v>
      </c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49">
        <f t="shared" si="6"/>
        <v>26136.36</v>
      </c>
      <c r="AC53" s="49">
        <f t="shared" si="5"/>
        <v>0</v>
      </c>
    </row>
    <row r="54" spans="1:29" s="61" customFormat="1">
      <c r="A54" s="64" t="s">
        <v>142</v>
      </c>
      <c r="B54" s="64" t="s">
        <v>145</v>
      </c>
      <c r="C54" s="64" t="s">
        <v>146</v>
      </c>
      <c r="D54" s="64">
        <v>2613.64</v>
      </c>
      <c r="E54" s="63">
        <v>28750</v>
      </c>
      <c r="F54" s="81">
        <f t="shared" si="3"/>
        <v>26136.36</v>
      </c>
      <c r="G54" s="64" t="s">
        <v>8</v>
      </c>
      <c r="H54" s="65">
        <f t="shared" si="4"/>
        <v>26136.36</v>
      </c>
      <c r="I54" s="65">
        <f>+H54</f>
        <v>26136.36</v>
      </c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49">
        <f t="shared" si="6"/>
        <v>26136.36</v>
      </c>
      <c r="AC54" s="49">
        <f t="shared" si="5"/>
        <v>0</v>
      </c>
    </row>
    <row r="55" spans="1:29" s="61" customFormat="1">
      <c r="A55" s="64" t="s">
        <v>142</v>
      </c>
      <c r="B55" s="64" t="s">
        <v>147</v>
      </c>
      <c r="C55" s="64" t="s">
        <v>148</v>
      </c>
      <c r="D55" s="64">
        <v>13150</v>
      </c>
      <c r="E55" s="63">
        <v>144650</v>
      </c>
      <c r="F55" s="81">
        <f t="shared" si="3"/>
        <v>131500</v>
      </c>
      <c r="G55" s="64" t="s">
        <v>8</v>
      </c>
      <c r="H55" s="65">
        <f t="shared" si="4"/>
        <v>131500</v>
      </c>
      <c r="I55" s="64"/>
      <c r="J55" s="64"/>
      <c r="K55" s="64"/>
      <c r="L55" s="64"/>
      <c r="M55" s="64"/>
      <c r="N55" s="65">
        <f>+H55</f>
        <v>131500</v>
      </c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49">
        <f t="shared" si="6"/>
        <v>131500</v>
      </c>
      <c r="AC55" s="49">
        <f t="shared" si="5"/>
        <v>0</v>
      </c>
    </row>
    <row r="56" spans="1:29" s="61" customFormat="1">
      <c r="A56" s="64" t="s">
        <v>142</v>
      </c>
      <c r="B56" s="64" t="s">
        <v>149</v>
      </c>
      <c r="C56" s="64" t="s">
        <v>150</v>
      </c>
      <c r="D56" s="64">
        <v>3827.272727</v>
      </c>
      <c r="E56" s="63">
        <v>42100</v>
      </c>
      <c r="F56" s="81">
        <f t="shared" si="3"/>
        <v>38272.727272999997</v>
      </c>
      <c r="G56" s="64" t="s">
        <v>8</v>
      </c>
      <c r="H56" s="65">
        <f t="shared" si="4"/>
        <v>38272.727272999997</v>
      </c>
      <c r="I56" s="64"/>
      <c r="J56" s="64"/>
      <c r="K56" s="82">
        <f t="shared" ref="K56:K58" si="13">+H56</f>
        <v>38272.727272999997</v>
      </c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49">
        <f t="shared" si="6"/>
        <v>38272.727272999997</v>
      </c>
      <c r="AC56" s="49">
        <f t="shared" si="5"/>
        <v>0</v>
      </c>
    </row>
    <row r="57" spans="1:29" s="61" customFormat="1">
      <c r="A57" s="64" t="s">
        <v>142</v>
      </c>
      <c r="B57" s="64" t="s">
        <v>151</v>
      </c>
      <c r="C57" s="64" t="s">
        <v>152</v>
      </c>
      <c r="D57" s="64">
        <v>0</v>
      </c>
      <c r="E57" s="63">
        <v>35862</v>
      </c>
      <c r="F57" s="81">
        <f t="shared" si="3"/>
        <v>35862</v>
      </c>
      <c r="G57" s="64" t="s">
        <v>55</v>
      </c>
      <c r="H57" s="65">
        <f t="shared" si="4"/>
        <v>35862</v>
      </c>
      <c r="I57" s="64"/>
      <c r="J57" s="64"/>
      <c r="K57" s="82">
        <f t="shared" si="13"/>
        <v>35862</v>
      </c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49">
        <f t="shared" si="6"/>
        <v>35862</v>
      </c>
      <c r="AC57" s="49">
        <f t="shared" si="5"/>
        <v>0</v>
      </c>
    </row>
    <row r="58" spans="1:29" s="61" customFormat="1">
      <c r="A58" s="64" t="s">
        <v>142</v>
      </c>
      <c r="B58" s="64" t="s">
        <v>151</v>
      </c>
      <c r="C58" s="64" t="s">
        <v>152</v>
      </c>
      <c r="D58" s="64">
        <v>0</v>
      </c>
      <c r="E58" s="63">
        <v>238000</v>
      </c>
      <c r="F58" s="81">
        <f t="shared" si="3"/>
        <v>238000</v>
      </c>
      <c r="G58" s="64" t="s">
        <v>55</v>
      </c>
      <c r="H58" s="65">
        <f t="shared" si="4"/>
        <v>238000</v>
      </c>
      <c r="I58" s="64"/>
      <c r="J58" s="64"/>
      <c r="K58" s="82">
        <f t="shared" si="13"/>
        <v>238000</v>
      </c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49">
        <f t="shared" si="6"/>
        <v>238000</v>
      </c>
      <c r="AC58" s="49">
        <f t="shared" si="5"/>
        <v>0</v>
      </c>
    </row>
    <row r="59" spans="1:29" s="61" customFormat="1">
      <c r="A59" s="64" t="s">
        <v>142</v>
      </c>
      <c r="B59" s="64" t="s">
        <v>153</v>
      </c>
      <c r="C59" s="64" t="s">
        <v>154</v>
      </c>
      <c r="D59" s="64">
        <v>0</v>
      </c>
      <c r="E59" s="63">
        <v>128000</v>
      </c>
      <c r="F59" s="81">
        <f t="shared" si="3"/>
        <v>128000</v>
      </c>
      <c r="G59" s="64" t="s">
        <v>8</v>
      </c>
      <c r="H59" s="65">
        <f t="shared" si="4"/>
        <v>128000</v>
      </c>
      <c r="I59" s="64"/>
      <c r="J59" s="64"/>
      <c r="K59" s="64"/>
      <c r="L59" s="64"/>
      <c r="M59" s="65">
        <f>+H59</f>
        <v>128000</v>
      </c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49">
        <f t="shared" si="6"/>
        <v>128000</v>
      </c>
      <c r="AC59" s="49">
        <f t="shared" si="5"/>
        <v>0</v>
      </c>
    </row>
    <row r="60" spans="1:29" s="61" customFormat="1">
      <c r="A60" s="64" t="s">
        <v>142</v>
      </c>
      <c r="B60" s="64" t="s">
        <v>153</v>
      </c>
      <c r="C60" s="64" t="s">
        <v>154</v>
      </c>
      <c r="D60" s="64">
        <v>0</v>
      </c>
      <c r="E60" s="63">
        <v>40870</v>
      </c>
      <c r="F60" s="81">
        <f t="shared" si="3"/>
        <v>40870</v>
      </c>
      <c r="G60" s="64" t="s">
        <v>8</v>
      </c>
      <c r="H60" s="65">
        <f t="shared" si="4"/>
        <v>40870</v>
      </c>
      <c r="I60" s="65">
        <f>+H60</f>
        <v>40870</v>
      </c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49">
        <f t="shared" si="6"/>
        <v>40870</v>
      </c>
      <c r="AC60" s="49">
        <f t="shared" si="5"/>
        <v>0</v>
      </c>
    </row>
    <row r="61" spans="1:29" s="61" customFormat="1">
      <c r="A61" s="64" t="s">
        <v>142</v>
      </c>
      <c r="B61" s="64" t="s">
        <v>140</v>
      </c>
      <c r="C61" s="64" t="s">
        <v>141</v>
      </c>
      <c r="D61" s="64">
        <v>0</v>
      </c>
      <c r="E61" s="63">
        <v>80000</v>
      </c>
      <c r="F61" s="81">
        <f t="shared" si="3"/>
        <v>80000</v>
      </c>
      <c r="G61" s="64" t="s">
        <v>55</v>
      </c>
      <c r="H61" s="65">
        <f t="shared" si="4"/>
        <v>80000</v>
      </c>
      <c r="I61" s="64"/>
      <c r="J61" s="64"/>
      <c r="K61" s="64"/>
      <c r="L61" s="64"/>
      <c r="M61" s="82">
        <f>+H61</f>
        <v>80000</v>
      </c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49">
        <f t="shared" si="6"/>
        <v>80000</v>
      </c>
      <c r="AC61" s="49">
        <f t="shared" si="5"/>
        <v>0</v>
      </c>
    </row>
    <row r="62" spans="1:29" s="61" customFormat="1">
      <c r="A62" s="64" t="s">
        <v>155</v>
      </c>
      <c r="B62" s="64" t="s">
        <v>156</v>
      </c>
      <c r="C62" s="64" t="s">
        <v>157</v>
      </c>
      <c r="D62" s="64">
        <v>4545.45</v>
      </c>
      <c r="E62" s="63">
        <v>50000</v>
      </c>
      <c r="F62" s="81">
        <f t="shared" si="3"/>
        <v>45454.55</v>
      </c>
      <c r="G62" s="64" t="s">
        <v>8</v>
      </c>
      <c r="H62" s="65">
        <f t="shared" si="4"/>
        <v>45454.55</v>
      </c>
      <c r="I62" s="65">
        <f>+H62</f>
        <v>45454.55</v>
      </c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49">
        <f t="shared" si="6"/>
        <v>45454.55</v>
      </c>
      <c r="AC62" s="49">
        <f t="shared" si="5"/>
        <v>0</v>
      </c>
    </row>
    <row r="63" spans="1:29" s="61" customFormat="1">
      <c r="A63" s="64" t="s">
        <v>158</v>
      </c>
      <c r="B63" s="64" t="s">
        <v>149</v>
      </c>
      <c r="C63" s="64" t="s">
        <v>150</v>
      </c>
      <c r="D63" s="64">
        <v>7954.5454550000004</v>
      </c>
      <c r="E63" s="63">
        <v>87500</v>
      </c>
      <c r="F63" s="81">
        <f t="shared" si="3"/>
        <v>79545.454545000001</v>
      </c>
      <c r="G63" s="64" t="s">
        <v>8</v>
      </c>
      <c r="H63" s="65">
        <f t="shared" si="4"/>
        <v>79545.454545000001</v>
      </c>
      <c r="I63" s="64"/>
      <c r="J63" s="64"/>
      <c r="K63" s="82">
        <f>+H63</f>
        <v>79545.454545000001</v>
      </c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49">
        <f t="shared" si="6"/>
        <v>79545.454545000001</v>
      </c>
      <c r="AC63" s="49">
        <f t="shared" si="5"/>
        <v>0</v>
      </c>
    </row>
    <row r="64" spans="1:29" s="61" customFormat="1">
      <c r="A64" s="64"/>
      <c r="B64" s="64"/>
      <c r="C64" s="64"/>
      <c r="D64" s="64"/>
      <c r="E64" s="63"/>
      <c r="F64" s="81">
        <f t="shared" si="3"/>
        <v>0</v>
      </c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49">
        <f t="shared" si="6"/>
        <v>0</v>
      </c>
      <c r="AC64" s="49">
        <f t="shared" si="5"/>
        <v>0</v>
      </c>
    </row>
    <row r="65" spans="1:29" customFormat="1" ht="15.5">
      <c r="A65" s="84"/>
      <c r="B65" s="84"/>
      <c r="C65" s="84"/>
      <c r="D65" s="84"/>
      <c r="E65" s="85"/>
      <c r="F65" s="86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6">
        <f t="shared" ref="AC65" si="14">SUM(AC67:AC223)</f>
        <v>0</v>
      </c>
    </row>
    <row r="66" spans="1:29">
      <c r="A66" s="87"/>
      <c r="B66" s="87"/>
      <c r="C66" s="87"/>
      <c r="D66" s="87"/>
      <c r="E66" s="88"/>
      <c r="F66" s="89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</row>
    <row r="67" spans="1:29">
      <c r="A67" s="87"/>
      <c r="B67" s="87"/>
      <c r="C67" s="87"/>
      <c r="D67" s="87"/>
      <c r="E67" s="88"/>
      <c r="F67" s="89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</row>
    <row r="68" spans="1:29">
      <c r="A68" s="87"/>
      <c r="B68" s="87"/>
      <c r="C68" s="87"/>
      <c r="D68" s="87"/>
      <c r="E68" s="88"/>
      <c r="F68" s="89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</row>
    <row r="69" spans="1:29">
      <c r="A69" s="87"/>
      <c r="B69" s="87"/>
      <c r="C69" s="87"/>
      <c r="D69" s="87"/>
      <c r="E69" s="88"/>
      <c r="F69" s="89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</row>
    <row r="70" spans="1:29">
      <c r="A70" s="87"/>
      <c r="B70" s="87"/>
      <c r="C70" s="87"/>
      <c r="D70" s="87"/>
      <c r="E70" s="88"/>
      <c r="F70" s="89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</row>
    <row r="71" spans="1:29">
      <c r="A71" s="87"/>
      <c r="B71" s="87"/>
      <c r="C71" s="87"/>
      <c r="D71" s="87"/>
      <c r="E71" s="88"/>
      <c r="F71" s="89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</row>
    <row r="72" spans="1:29">
      <c r="A72" s="87"/>
      <c r="B72" s="87"/>
      <c r="C72" s="87"/>
      <c r="D72" s="87"/>
      <c r="E72" s="88"/>
      <c r="F72" s="89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</row>
    <row r="73" spans="1:29">
      <c r="A73" s="87"/>
      <c r="B73" s="87"/>
      <c r="C73" s="87"/>
      <c r="D73" s="87"/>
      <c r="E73" s="88"/>
      <c r="F73" s="89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</row>
    <row r="74" spans="1:29">
      <c r="A74" s="87"/>
      <c r="B74" s="87"/>
      <c r="C74" s="87"/>
      <c r="D74" s="87"/>
      <c r="E74" s="88"/>
      <c r="F74" s="89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</row>
    <row r="75" spans="1:29">
      <c r="A75" s="87"/>
      <c r="B75" s="87"/>
      <c r="C75" s="87"/>
      <c r="D75" s="87"/>
      <c r="E75" s="88"/>
      <c r="F75" s="89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</row>
    <row r="76" spans="1:29">
      <c r="A76" s="87"/>
      <c r="B76" s="87"/>
      <c r="C76" s="87"/>
      <c r="D76" s="87"/>
      <c r="E76" s="88"/>
      <c r="F76" s="89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</row>
    <row r="77" spans="1:29">
      <c r="A77" s="87"/>
      <c r="B77" s="87"/>
      <c r="C77" s="87"/>
      <c r="D77" s="87"/>
      <c r="E77" s="88"/>
      <c r="F77" s="89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</row>
    <row r="78" spans="1:29">
      <c r="A78" s="87"/>
      <c r="B78" s="87"/>
      <c r="C78" s="87"/>
      <c r="D78" s="87"/>
      <c r="E78" s="88"/>
      <c r="F78" s="89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</row>
    <row r="79" spans="1:29">
      <c r="A79" s="87"/>
      <c r="B79" s="87"/>
      <c r="C79" s="87"/>
      <c r="D79" s="87"/>
      <c r="E79" s="88"/>
      <c r="F79" s="89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</row>
    <row r="80" spans="1:29">
      <c r="A80" s="87"/>
      <c r="B80" s="87"/>
      <c r="C80" s="87"/>
      <c r="D80" s="87"/>
      <c r="E80" s="88"/>
      <c r="F80" s="89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</row>
    <row r="81" spans="1:29">
      <c r="A81" s="87"/>
      <c r="B81" s="87"/>
      <c r="C81" s="87"/>
      <c r="D81" s="87"/>
      <c r="E81" s="88"/>
      <c r="F81" s="89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</row>
    <row r="82" spans="1:29">
      <c r="A82" s="87"/>
      <c r="B82" s="87"/>
      <c r="C82" s="87"/>
      <c r="D82" s="87"/>
      <c r="E82" s="88"/>
      <c r="F82" s="89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</row>
    <row r="83" spans="1:29">
      <c r="A83" s="87"/>
      <c r="B83" s="87"/>
      <c r="C83" s="87"/>
      <c r="D83" s="87"/>
      <c r="E83" s="88"/>
      <c r="F83" s="89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</row>
    <row r="84" spans="1:29">
      <c r="A84" s="87"/>
      <c r="B84" s="87"/>
      <c r="C84" s="87"/>
      <c r="D84" s="87"/>
      <c r="E84" s="88"/>
      <c r="F84" s="89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</row>
  </sheetData>
  <autoFilter ref="A3:AC65"/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69"/>
  <sheetViews>
    <sheetView zoomScale="85" zoomScaleNormal="85" workbookViewId="0">
      <pane ySplit="5" topLeftCell="A30" activePane="bottomLeft" state="frozen"/>
      <selection pane="bottomLeft" activeCell="G14" sqref="G14"/>
    </sheetView>
  </sheetViews>
  <sheetFormatPr defaultColWidth="9" defaultRowHeight="13"/>
  <cols>
    <col min="1" max="1" width="10.08203125" style="39" bestFit="1" customWidth="1"/>
    <col min="2" max="2" width="28.08203125" style="39" bestFit="1" customWidth="1"/>
    <col min="3" max="3" width="8.25" style="39" bestFit="1" customWidth="1"/>
    <col min="4" max="4" width="12" style="39" bestFit="1" customWidth="1"/>
    <col min="5" max="5" width="11.75" style="39" customWidth="1"/>
    <col min="6" max="6" width="13.08203125" style="41" bestFit="1" customWidth="1"/>
    <col min="7" max="7" width="11.75" style="39" bestFit="1" customWidth="1"/>
    <col min="8" max="8" width="11.83203125" style="39" bestFit="1" customWidth="1"/>
    <col min="9" max="9" width="11.25" style="39" bestFit="1" customWidth="1"/>
    <col min="10" max="10" width="12.75" style="39" bestFit="1" customWidth="1"/>
    <col min="11" max="11" width="10.25" style="39" bestFit="1" customWidth="1"/>
    <col min="12" max="12" width="9.08203125" style="39" bestFit="1" customWidth="1"/>
    <col min="13" max="13" width="10.25" style="39" bestFit="1" customWidth="1"/>
    <col min="14" max="14" width="11.08203125" style="39" bestFit="1" customWidth="1"/>
    <col min="15" max="15" width="9.08203125" style="39" bestFit="1" customWidth="1"/>
    <col min="16" max="16" width="10.83203125" style="39" bestFit="1" customWidth="1"/>
    <col min="17" max="17" width="13.83203125" style="39" bestFit="1" customWidth="1"/>
    <col min="18" max="27" width="9.08203125" style="39" bestFit="1" customWidth="1"/>
    <col min="28" max="28" width="13.25" style="39" bestFit="1" customWidth="1"/>
    <col min="29" max="29" width="14" style="39" bestFit="1" customWidth="1"/>
    <col min="30" max="16384" width="9" style="39"/>
  </cols>
  <sheetData>
    <row r="1" spans="1:30">
      <c r="G1" s="73" t="s">
        <v>239</v>
      </c>
    </row>
    <row r="2" spans="1:30">
      <c r="D2" s="71" t="s">
        <v>238</v>
      </c>
      <c r="E2" s="71" t="s">
        <v>237</v>
      </c>
      <c r="F2" s="71" t="s">
        <v>236</v>
      </c>
    </row>
    <row r="3" spans="1:30" s="46" customFormat="1" ht="39">
      <c r="A3" s="42" t="s">
        <v>15</v>
      </c>
      <c r="B3" s="43" t="s">
        <v>0</v>
      </c>
      <c r="C3" s="43" t="s">
        <v>1</v>
      </c>
      <c r="D3" s="44" t="s">
        <v>2</v>
      </c>
      <c r="E3" s="44" t="s">
        <v>3</v>
      </c>
      <c r="F3" s="45" t="s">
        <v>4</v>
      </c>
      <c r="G3" s="43" t="s">
        <v>16</v>
      </c>
      <c r="H3" s="43" t="s">
        <v>37</v>
      </c>
      <c r="I3" s="42" t="s">
        <v>17</v>
      </c>
      <c r="J3" s="42" t="s">
        <v>62</v>
      </c>
      <c r="K3" s="42" t="s">
        <v>18</v>
      </c>
      <c r="L3" s="45" t="s">
        <v>19</v>
      </c>
      <c r="M3" s="42" t="s">
        <v>20</v>
      </c>
      <c r="N3" s="42" t="s">
        <v>21</v>
      </c>
      <c r="O3" s="42" t="s">
        <v>22</v>
      </c>
      <c r="P3" s="42" t="s">
        <v>23</v>
      </c>
      <c r="Q3" s="43" t="s">
        <v>24</v>
      </c>
      <c r="R3" s="43" t="s">
        <v>25</v>
      </c>
      <c r="S3" s="43" t="s">
        <v>26</v>
      </c>
      <c r="T3" s="43" t="s">
        <v>27</v>
      </c>
      <c r="U3" s="43" t="s">
        <v>28</v>
      </c>
      <c r="V3" s="43" t="s">
        <v>29</v>
      </c>
      <c r="W3" s="43" t="s">
        <v>30</v>
      </c>
      <c r="X3" s="43" t="s">
        <v>31</v>
      </c>
      <c r="Y3" s="43" t="s">
        <v>32</v>
      </c>
      <c r="Z3" s="43" t="s">
        <v>33</v>
      </c>
      <c r="AA3" s="43" t="s">
        <v>34</v>
      </c>
      <c r="AB3" s="43" t="s">
        <v>35</v>
      </c>
      <c r="AC3" s="43" t="s">
        <v>36</v>
      </c>
    </row>
    <row r="4" spans="1:30">
      <c r="A4" s="47"/>
      <c r="B4" s="47"/>
      <c r="C4" s="48"/>
      <c r="D4" s="49">
        <f t="shared" ref="D4:E4" si="0">SUM(D6:D162)</f>
        <v>547910.70844099997</v>
      </c>
      <c r="E4" s="49">
        <f t="shared" si="0"/>
        <v>18916331.619999997</v>
      </c>
      <c r="F4" s="50">
        <f>SUM(F6:F162)</f>
        <v>18368420.911559004</v>
      </c>
      <c r="G4" s="49"/>
      <c r="H4" s="49">
        <f>+AB4</f>
        <v>18368420.911559001</v>
      </c>
      <c r="I4" s="49">
        <f>SUM(I6:I162)</f>
        <v>1384888.2951950002</v>
      </c>
      <c r="J4" s="49">
        <f>SUM(J6:J162)</f>
        <v>11037835.619999999</v>
      </c>
      <c r="K4" s="49">
        <f t="shared" ref="K4:AA4" si="1">SUM(K6:K162)</f>
        <v>1309382.42</v>
      </c>
      <c r="L4" s="49">
        <f t="shared" si="1"/>
        <v>0</v>
      </c>
      <c r="M4" s="49">
        <f t="shared" si="1"/>
        <v>414309.09090900002</v>
      </c>
      <c r="N4" s="49">
        <f t="shared" si="1"/>
        <v>220000</v>
      </c>
      <c r="O4" s="49">
        <f t="shared" si="1"/>
        <v>0</v>
      </c>
      <c r="P4" s="49">
        <f t="shared" si="1"/>
        <v>1353641.8454549999</v>
      </c>
      <c r="Q4" s="49">
        <f t="shared" si="1"/>
        <v>2648363.64</v>
      </c>
      <c r="R4" s="49">
        <f t="shared" si="1"/>
        <v>0</v>
      </c>
      <c r="S4" s="49">
        <f t="shared" si="1"/>
        <v>0</v>
      </c>
      <c r="T4" s="49">
        <f t="shared" si="1"/>
        <v>0</v>
      </c>
      <c r="U4" s="49">
        <f t="shared" si="1"/>
        <v>0</v>
      </c>
      <c r="V4" s="49">
        <f t="shared" si="1"/>
        <v>0</v>
      </c>
      <c r="W4" s="49">
        <f t="shared" si="1"/>
        <v>0</v>
      </c>
      <c r="X4" s="49">
        <f t="shared" si="1"/>
        <v>0</v>
      </c>
      <c r="Y4" s="49">
        <f t="shared" si="1"/>
        <v>0</v>
      </c>
      <c r="Z4" s="49">
        <f t="shared" si="1"/>
        <v>0</v>
      </c>
      <c r="AA4" s="49">
        <f t="shared" si="1"/>
        <v>0</v>
      </c>
      <c r="AB4" s="49">
        <f>SUM(I4:AA4)</f>
        <v>18368420.911559001</v>
      </c>
      <c r="AC4" s="49">
        <f>SUM(AC6:AC162)</f>
        <v>0</v>
      </c>
    </row>
    <row r="5" spans="1:30">
      <c r="A5" s="161"/>
      <c r="B5" s="161"/>
      <c r="C5" s="162"/>
      <c r="D5" s="163"/>
      <c r="E5" s="163"/>
      <c r="F5" s="164">
        <v>1</v>
      </c>
      <c r="G5" s="165"/>
      <c r="H5" s="166"/>
      <c r="I5" s="165">
        <f>+I4/$H$4</f>
        <v>7.5395065360436539E-2</v>
      </c>
      <c r="J5" s="167"/>
      <c r="K5" s="165">
        <f t="shared" ref="K5:AC5" si="2">+K4/$H$4</f>
        <v>7.1284430289596815E-2</v>
      </c>
      <c r="L5" s="165">
        <f t="shared" si="2"/>
        <v>0</v>
      </c>
      <c r="M5" s="165">
        <f t="shared" si="2"/>
        <v>2.2555509420424967E-2</v>
      </c>
      <c r="N5" s="165">
        <f t="shared" si="2"/>
        <v>1.1977077455882827E-2</v>
      </c>
      <c r="O5" s="165">
        <f t="shared" si="2"/>
        <v>0</v>
      </c>
      <c r="P5" s="165">
        <f t="shared" si="2"/>
        <v>7.3693969229721393E-2</v>
      </c>
      <c r="Q5" s="165">
        <f t="shared" si="2"/>
        <v>0.14418025658010811</v>
      </c>
      <c r="R5" s="165">
        <f t="shared" si="2"/>
        <v>0</v>
      </c>
      <c r="S5" s="165">
        <f t="shared" si="2"/>
        <v>0</v>
      </c>
      <c r="T5" s="165">
        <f t="shared" si="2"/>
        <v>0</v>
      </c>
      <c r="U5" s="165">
        <f t="shared" si="2"/>
        <v>0</v>
      </c>
      <c r="V5" s="165">
        <f t="shared" si="2"/>
        <v>0</v>
      </c>
      <c r="W5" s="165">
        <f t="shared" si="2"/>
        <v>0</v>
      </c>
      <c r="X5" s="165">
        <f t="shared" si="2"/>
        <v>0</v>
      </c>
      <c r="Y5" s="165">
        <f t="shared" si="2"/>
        <v>0</v>
      </c>
      <c r="Z5" s="165">
        <f t="shared" si="2"/>
        <v>0</v>
      </c>
      <c r="AA5" s="165">
        <f t="shared" si="2"/>
        <v>0</v>
      </c>
      <c r="AB5" s="165">
        <f t="shared" si="2"/>
        <v>1</v>
      </c>
      <c r="AC5" s="167">
        <f t="shared" si="2"/>
        <v>0</v>
      </c>
    </row>
    <row r="6" spans="1:30" s="61" customFormat="1">
      <c r="A6" s="168" t="s">
        <v>159</v>
      </c>
      <c r="B6" s="168" t="s">
        <v>53</v>
      </c>
      <c r="C6" s="168" t="s">
        <v>54</v>
      </c>
      <c r="D6" s="168">
        <v>0</v>
      </c>
      <c r="E6" s="168">
        <v>1000</v>
      </c>
      <c r="F6" s="168">
        <f>+E6-D6</f>
        <v>1000</v>
      </c>
      <c r="G6" s="168" t="s">
        <v>55</v>
      </c>
      <c r="H6" s="169">
        <f>+F6</f>
        <v>1000</v>
      </c>
      <c r="I6" s="169">
        <f>+H6</f>
        <v>1000</v>
      </c>
      <c r="J6" s="168"/>
      <c r="K6" s="169"/>
      <c r="L6" s="168"/>
      <c r="M6" s="168"/>
      <c r="N6" s="168"/>
      <c r="O6" s="169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70">
        <f>SUM(I6:AA6)</f>
        <v>1000</v>
      </c>
      <c r="AC6" s="170">
        <f>+AB6-H6</f>
        <v>0</v>
      </c>
      <c r="AD6" s="168" t="s">
        <v>909</v>
      </c>
    </row>
    <row r="7" spans="1:30" s="61" customFormat="1">
      <c r="A7" s="168" t="s">
        <v>159</v>
      </c>
      <c r="B7" s="168" t="s">
        <v>87</v>
      </c>
      <c r="C7" s="168" t="s">
        <v>88</v>
      </c>
      <c r="D7" s="168">
        <v>4545.45</v>
      </c>
      <c r="E7" s="168">
        <v>50000</v>
      </c>
      <c r="F7" s="168">
        <f t="shared" ref="F7:F67" si="3">+E7-D7</f>
        <v>45454.55</v>
      </c>
      <c r="G7" s="168" t="s">
        <v>8</v>
      </c>
      <c r="H7" s="169">
        <f t="shared" ref="H7:H67" si="4">+F7</f>
        <v>45454.55</v>
      </c>
      <c r="I7" s="169"/>
      <c r="J7" s="168"/>
      <c r="K7" s="168"/>
      <c r="L7" s="168"/>
      <c r="M7" s="168"/>
      <c r="N7" s="168"/>
      <c r="O7" s="168"/>
      <c r="P7" s="169">
        <f>+H7</f>
        <v>45454.55</v>
      </c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70">
        <f>SUM(I7:AA7)</f>
        <v>45454.55</v>
      </c>
      <c r="AC7" s="170">
        <f t="shared" ref="AC7:AC64" si="5">+AB7-H7</f>
        <v>0</v>
      </c>
      <c r="AD7" s="168" t="s">
        <v>909</v>
      </c>
    </row>
    <row r="8" spans="1:30" s="61" customFormat="1">
      <c r="A8" s="168" t="s">
        <v>159</v>
      </c>
      <c r="B8" s="168" t="s">
        <v>56</v>
      </c>
      <c r="C8" s="168" t="s">
        <v>57</v>
      </c>
      <c r="D8" s="168">
        <v>0</v>
      </c>
      <c r="E8" s="168">
        <v>2000</v>
      </c>
      <c r="F8" s="168">
        <f t="shared" si="3"/>
        <v>2000</v>
      </c>
      <c r="G8" s="168" t="s">
        <v>55</v>
      </c>
      <c r="H8" s="169">
        <f t="shared" si="4"/>
        <v>2000</v>
      </c>
      <c r="I8" s="169">
        <f>+H8</f>
        <v>2000</v>
      </c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70">
        <f t="shared" ref="AB8:AB64" si="6">SUM(I8:AA8)</f>
        <v>2000</v>
      </c>
      <c r="AC8" s="170">
        <f t="shared" si="5"/>
        <v>0</v>
      </c>
      <c r="AD8" s="168" t="s">
        <v>909</v>
      </c>
    </row>
    <row r="9" spans="1:30" s="61" customFormat="1">
      <c r="A9" s="168" t="s">
        <v>160</v>
      </c>
      <c r="B9" s="168" t="s">
        <v>161</v>
      </c>
      <c r="C9" s="168" t="s">
        <v>162</v>
      </c>
      <c r="D9" s="168">
        <v>0</v>
      </c>
      <c r="E9" s="168">
        <v>4900</v>
      </c>
      <c r="F9" s="168">
        <f t="shared" si="3"/>
        <v>4900</v>
      </c>
      <c r="G9" s="168" t="s">
        <v>55</v>
      </c>
      <c r="H9" s="169">
        <f t="shared" si="4"/>
        <v>4900</v>
      </c>
      <c r="I9" s="168"/>
      <c r="J9" s="168"/>
      <c r="K9" s="169">
        <f>+H9</f>
        <v>4900</v>
      </c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70">
        <f t="shared" si="6"/>
        <v>4900</v>
      </c>
      <c r="AC9" s="170">
        <f t="shared" si="5"/>
        <v>0</v>
      </c>
      <c r="AD9" s="168" t="s">
        <v>909</v>
      </c>
    </row>
    <row r="10" spans="1:30" s="61" customFormat="1">
      <c r="A10" s="168" t="s">
        <v>160</v>
      </c>
      <c r="B10" s="168" t="s">
        <v>161</v>
      </c>
      <c r="C10" s="168" t="s">
        <v>162</v>
      </c>
      <c r="D10" s="168">
        <v>1327.27</v>
      </c>
      <c r="E10" s="168">
        <v>14600</v>
      </c>
      <c r="F10" s="168">
        <f t="shared" si="3"/>
        <v>13272.73</v>
      </c>
      <c r="G10" s="168" t="s">
        <v>8</v>
      </c>
      <c r="H10" s="169">
        <f t="shared" si="4"/>
        <v>13272.73</v>
      </c>
      <c r="I10" s="168"/>
      <c r="J10" s="168"/>
      <c r="K10" s="169">
        <f>+H10</f>
        <v>13272.73</v>
      </c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70">
        <f t="shared" si="6"/>
        <v>13272.73</v>
      </c>
      <c r="AC10" s="170">
        <f t="shared" si="5"/>
        <v>0</v>
      </c>
      <c r="AD10" s="168" t="s">
        <v>909</v>
      </c>
    </row>
    <row r="11" spans="1:30" s="61" customFormat="1">
      <c r="A11" s="168" t="s">
        <v>160</v>
      </c>
      <c r="B11" s="168" t="s">
        <v>163</v>
      </c>
      <c r="C11" s="168" t="s">
        <v>164</v>
      </c>
      <c r="D11" s="168">
        <v>11372.73</v>
      </c>
      <c r="E11" s="168">
        <v>125100</v>
      </c>
      <c r="F11" s="168">
        <f t="shared" si="3"/>
        <v>113727.27</v>
      </c>
      <c r="G11" s="168" t="s">
        <v>8</v>
      </c>
      <c r="H11" s="169">
        <f t="shared" si="4"/>
        <v>113727.27</v>
      </c>
      <c r="I11" s="168"/>
      <c r="J11" s="168"/>
      <c r="K11" s="169">
        <f>+H11</f>
        <v>113727.27</v>
      </c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70">
        <f t="shared" si="6"/>
        <v>113727.27</v>
      </c>
      <c r="AC11" s="170">
        <f t="shared" si="5"/>
        <v>0</v>
      </c>
      <c r="AD11" s="168" t="s">
        <v>909</v>
      </c>
    </row>
    <row r="12" spans="1:30" s="61" customFormat="1">
      <c r="A12" s="168" t="s">
        <v>160</v>
      </c>
      <c r="B12" s="168" t="s">
        <v>10</v>
      </c>
      <c r="C12" s="168" t="s">
        <v>11</v>
      </c>
      <c r="D12" s="168">
        <v>2727.27</v>
      </c>
      <c r="E12" s="168">
        <v>30000</v>
      </c>
      <c r="F12" s="168">
        <f t="shared" si="3"/>
        <v>27272.73</v>
      </c>
      <c r="G12" s="168" t="s">
        <v>8</v>
      </c>
      <c r="H12" s="169">
        <f t="shared" si="4"/>
        <v>27272.73</v>
      </c>
      <c r="I12" s="169"/>
      <c r="J12" s="168"/>
      <c r="K12" s="168"/>
      <c r="L12" s="168"/>
      <c r="M12" s="168"/>
      <c r="N12" s="168"/>
      <c r="O12" s="168"/>
      <c r="P12" s="169">
        <f>+H12</f>
        <v>27272.73</v>
      </c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70">
        <f t="shared" si="6"/>
        <v>27272.73</v>
      </c>
      <c r="AC12" s="170">
        <f t="shared" si="5"/>
        <v>0</v>
      </c>
      <c r="AD12" s="168" t="s">
        <v>909</v>
      </c>
    </row>
    <row r="13" spans="1:30" s="61" customFormat="1">
      <c r="A13" s="168" t="s">
        <v>160</v>
      </c>
      <c r="B13" s="168" t="s">
        <v>116</v>
      </c>
      <c r="C13" s="168" t="s">
        <v>117</v>
      </c>
      <c r="D13" s="168">
        <v>0</v>
      </c>
      <c r="E13" s="168">
        <v>49500</v>
      </c>
      <c r="F13" s="168">
        <f t="shared" si="3"/>
        <v>49500</v>
      </c>
      <c r="G13" s="168" t="s">
        <v>55</v>
      </c>
      <c r="H13" s="169">
        <f t="shared" si="4"/>
        <v>49500</v>
      </c>
      <c r="I13" s="171"/>
      <c r="J13" s="168"/>
      <c r="K13" s="168"/>
      <c r="L13" s="168"/>
      <c r="M13" s="169">
        <f>+H13</f>
        <v>49500</v>
      </c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  <c r="AB13" s="170">
        <f t="shared" si="6"/>
        <v>49500</v>
      </c>
      <c r="AC13" s="170">
        <f t="shared" si="5"/>
        <v>0</v>
      </c>
      <c r="AD13" s="168" t="s">
        <v>909</v>
      </c>
    </row>
    <row r="14" spans="1:30" s="61" customFormat="1">
      <c r="A14" s="168" t="s">
        <v>165</v>
      </c>
      <c r="B14" s="168" t="s">
        <v>78</v>
      </c>
      <c r="C14" s="168" t="s">
        <v>79</v>
      </c>
      <c r="D14" s="168">
        <v>7200</v>
      </c>
      <c r="E14" s="168">
        <v>79200</v>
      </c>
      <c r="F14" s="168">
        <f t="shared" si="3"/>
        <v>72000</v>
      </c>
      <c r="G14" s="168" t="s">
        <v>8</v>
      </c>
      <c r="H14" s="169">
        <f t="shared" si="4"/>
        <v>72000</v>
      </c>
      <c r="I14" s="168"/>
      <c r="J14" s="168"/>
      <c r="K14" s="169">
        <f>+H14</f>
        <v>72000</v>
      </c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168"/>
      <c r="AB14" s="170">
        <f t="shared" si="6"/>
        <v>72000</v>
      </c>
      <c r="AC14" s="170">
        <f t="shared" si="5"/>
        <v>0</v>
      </c>
      <c r="AD14" s="168" t="s">
        <v>909</v>
      </c>
    </row>
    <row r="15" spans="1:30" s="61" customFormat="1">
      <c r="A15" s="168" t="s">
        <v>166</v>
      </c>
      <c r="B15" s="168" t="s">
        <v>140</v>
      </c>
      <c r="C15" s="168" t="s">
        <v>141</v>
      </c>
      <c r="D15" s="168">
        <v>0</v>
      </c>
      <c r="E15" s="168">
        <v>60000</v>
      </c>
      <c r="F15" s="168">
        <f t="shared" si="3"/>
        <v>60000</v>
      </c>
      <c r="G15" s="168" t="s">
        <v>55</v>
      </c>
      <c r="H15" s="169">
        <f t="shared" si="4"/>
        <v>60000</v>
      </c>
      <c r="I15" s="171"/>
      <c r="J15" s="168"/>
      <c r="K15" s="168"/>
      <c r="L15" s="168"/>
      <c r="M15" s="169">
        <f>+H15</f>
        <v>60000</v>
      </c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70">
        <f t="shared" si="6"/>
        <v>60000</v>
      </c>
      <c r="AC15" s="170">
        <f t="shared" si="5"/>
        <v>0</v>
      </c>
      <c r="AD15" s="168" t="s">
        <v>909</v>
      </c>
    </row>
    <row r="16" spans="1:30" s="61" customFormat="1">
      <c r="A16" s="168" t="s">
        <v>166</v>
      </c>
      <c r="B16" s="168" t="s">
        <v>94</v>
      </c>
      <c r="C16" s="168" t="s">
        <v>95</v>
      </c>
      <c r="D16" s="168">
        <v>13636.36</v>
      </c>
      <c r="E16" s="168">
        <v>150000</v>
      </c>
      <c r="F16" s="168">
        <f t="shared" si="3"/>
        <v>136363.64000000001</v>
      </c>
      <c r="G16" s="168" t="s">
        <v>8</v>
      </c>
      <c r="H16" s="169">
        <f t="shared" si="4"/>
        <v>136363.64000000001</v>
      </c>
      <c r="I16" s="171"/>
      <c r="J16" s="168"/>
      <c r="K16" s="168"/>
      <c r="L16" s="168"/>
      <c r="M16" s="168"/>
      <c r="N16" s="168"/>
      <c r="O16" s="168"/>
      <c r="P16" s="169">
        <f t="shared" ref="P16:P17" si="7">+H16</f>
        <v>136363.64000000001</v>
      </c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70">
        <f t="shared" si="6"/>
        <v>136363.64000000001</v>
      </c>
      <c r="AC16" s="170">
        <f t="shared" si="5"/>
        <v>0</v>
      </c>
      <c r="AD16" s="168" t="s">
        <v>909</v>
      </c>
    </row>
    <row r="17" spans="1:30" s="61" customFormat="1">
      <c r="A17" s="168" t="s">
        <v>167</v>
      </c>
      <c r="B17" s="168" t="s">
        <v>97</v>
      </c>
      <c r="C17" s="168" t="s">
        <v>98</v>
      </c>
      <c r="D17" s="168">
        <v>4545.45</v>
      </c>
      <c r="E17" s="168">
        <v>50000</v>
      </c>
      <c r="F17" s="168">
        <f t="shared" si="3"/>
        <v>45454.55</v>
      </c>
      <c r="G17" s="168" t="s">
        <v>8</v>
      </c>
      <c r="H17" s="169">
        <f t="shared" si="4"/>
        <v>45454.55</v>
      </c>
      <c r="I17" s="169"/>
      <c r="J17" s="168"/>
      <c r="K17" s="168"/>
      <c r="L17" s="168"/>
      <c r="M17" s="168"/>
      <c r="N17" s="168"/>
      <c r="O17" s="168"/>
      <c r="P17" s="169">
        <f t="shared" si="7"/>
        <v>45454.55</v>
      </c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70">
        <f t="shared" si="6"/>
        <v>45454.55</v>
      </c>
      <c r="AC17" s="170">
        <f t="shared" si="5"/>
        <v>0</v>
      </c>
      <c r="AD17" s="168" t="s">
        <v>909</v>
      </c>
    </row>
    <row r="18" spans="1:30" s="61" customFormat="1">
      <c r="A18" s="168" t="s">
        <v>167</v>
      </c>
      <c r="B18" s="168" t="s">
        <v>59</v>
      </c>
      <c r="C18" s="168" t="s">
        <v>60</v>
      </c>
      <c r="D18" s="168">
        <v>0</v>
      </c>
      <c r="E18" s="168">
        <v>226.54</v>
      </c>
      <c r="F18" s="168">
        <f t="shared" si="3"/>
        <v>226.54</v>
      </c>
      <c r="G18" s="168" t="s">
        <v>55</v>
      </c>
      <c r="H18" s="169">
        <f t="shared" si="4"/>
        <v>226.54</v>
      </c>
      <c r="I18" s="168"/>
      <c r="J18" s="169">
        <f>+H18</f>
        <v>226.54</v>
      </c>
      <c r="K18" s="171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70">
        <f t="shared" si="6"/>
        <v>226.54</v>
      </c>
      <c r="AC18" s="170">
        <f t="shared" si="5"/>
        <v>0</v>
      </c>
      <c r="AD18" s="168" t="s">
        <v>909</v>
      </c>
    </row>
    <row r="19" spans="1:30" s="61" customFormat="1">
      <c r="A19" s="168" t="s">
        <v>167</v>
      </c>
      <c r="B19" s="168" t="s">
        <v>64</v>
      </c>
      <c r="C19" s="168" t="s">
        <v>65</v>
      </c>
      <c r="D19" s="168">
        <v>0</v>
      </c>
      <c r="E19" s="168">
        <v>48908.49</v>
      </c>
      <c r="F19" s="168">
        <f t="shared" si="3"/>
        <v>48908.49</v>
      </c>
      <c r="G19" s="168" t="s">
        <v>55</v>
      </c>
      <c r="H19" s="169">
        <f t="shared" si="4"/>
        <v>48908.49</v>
      </c>
      <c r="I19" s="168"/>
      <c r="J19" s="169">
        <f>+H19</f>
        <v>48908.49</v>
      </c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70">
        <f t="shared" si="6"/>
        <v>48908.49</v>
      </c>
      <c r="AC19" s="170">
        <f t="shared" si="5"/>
        <v>0</v>
      </c>
      <c r="AD19" s="168" t="s">
        <v>909</v>
      </c>
    </row>
    <row r="20" spans="1:30" s="61" customFormat="1">
      <c r="A20" s="168" t="s">
        <v>167</v>
      </c>
      <c r="B20" s="168" t="s">
        <v>64</v>
      </c>
      <c r="C20" s="168" t="s">
        <v>65</v>
      </c>
      <c r="D20" s="168">
        <v>0</v>
      </c>
      <c r="E20" s="168">
        <v>9055567.1199999992</v>
      </c>
      <c r="F20" s="168">
        <f t="shared" si="3"/>
        <v>9055567.1199999992</v>
      </c>
      <c r="G20" s="168" t="s">
        <v>55</v>
      </c>
      <c r="H20" s="169">
        <f t="shared" si="4"/>
        <v>9055567.1199999992</v>
      </c>
      <c r="I20" s="168"/>
      <c r="J20" s="169">
        <f>+H20</f>
        <v>9055567.1199999992</v>
      </c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70">
        <f t="shared" si="6"/>
        <v>9055567.1199999992</v>
      </c>
      <c r="AC20" s="170">
        <f t="shared" si="5"/>
        <v>0</v>
      </c>
      <c r="AD20" s="168" t="s">
        <v>909</v>
      </c>
    </row>
    <row r="21" spans="1:30" s="61" customFormat="1">
      <c r="A21" s="168" t="s">
        <v>167</v>
      </c>
      <c r="B21" s="168" t="s">
        <v>168</v>
      </c>
      <c r="C21" s="168" t="s">
        <v>169</v>
      </c>
      <c r="D21" s="168">
        <v>9000</v>
      </c>
      <c r="E21" s="168">
        <v>99000</v>
      </c>
      <c r="F21" s="168">
        <f t="shared" si="3"/>
        <v>90000</v>
      </c>
      <c r="G21" s="168" t="s">
        <v>8</v>
      </c>
      <c r="H21" s="169">
        <f t="shared" si="4"/>
        <v>90000</v>
      </c>
      <c r="I21" s="168"/>
      <c r="J21" s="168"/>
      <c r="K21" s="168"/>
      <c r="L21" s="168"/>
      <c r="M21" s="168"/>
      <c r="N21" s="169">
        <f>+H21</f>
        <v>90000</v>
      </c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70">
        <f t="shared" si="6"/>
        <v>90000</v>
      </c>
      <c r="AC21" s="170">
        <f t="shared" si="5"/>
        <v>0</v>
      </c>
      <c r="AD21" s="168" t="s">
        <v>909</v>
      </c>
    </row>
    <row r="22" spans="1:30" s="61" customFormat="1">
      <c r="A22" s="168" t="s">
        <v>167</v>
      </c>
      <c r="B22" s="168" t="s">
        <v>168</v>
      </c>
      <c r="C22" s="168" t="s">
        <v>169</v>
      </c>
      <c r="D22" s="168">
        <v>13000</v>
      </c>
      <c r="E22" s="168">
        <v>143000</v>
      </c>
      <c r="F22" s="168">
        <f t="shared" si="3"/>
        <v>130000</v>
      </c>
      <c r="G22" s="168" t="s">
        <v>8</v>
      </c>
      <c r="H22" s="169">
        <f t="shared" si="4"/>
        <v>130000</v>
      </c>
      <c r="I22" s="168"/>
      <c r="J22" s="168"/>
      <c r="K22" s="168"/>
      <c r="L22" s="168"/>
      <c r="M22" s="168"/>
      <c r="N22" s="169">
        <f>+H22</f>
        <v>130000</v>
      </c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70">
        <f t="shared" si="6"/>
        <v>130000</v>
      </c>
      <c r="AC22" s="170">
        <f t="shared" si="5"/>
        <v>0</v>
      </c>
      <c r="AD22" s="168" t="s">
        <v>909</v>
      </c>
    </row>
    <row r="23" spans="1:30" s="61" customFormat="1">
      <c r="A23" s="168" t="s">
        <v>167</v>
      </c>
      <c r="B23" s="168" t="s">
        <v>170</v>
      </c>
      <c r="C23" s="168" t="s">
        <v>171</v>
      </c>
      <c r="D23" s="168">
        <v>82700</v>
      </c>
      <c r="E23" s="168">
        <v>909700</v>
      </c>
      <c r="F23" s="168">
        <f t="shared" si="3"/>
        <v>827000</v>
      </c>
      <c r="G23" s="168" t="s">
        <v>8</v>
      </c>
      <c r="H23" s="169">
        <f t="shared" si="4"/>
        <v>827000</v>
      </c>
      <c r="I23" s="168"/>
      <c r="J23" s="168"/>
      <c r="K23" s="168"/>
      <c r="L23" s="168"/>
      <c r="M23" s="168"/>
      <c r="N23" s="168"/>
      <c r="O23" s="168"/>
      <c r="P23" s="168"/>
      <c r="Q23" s="169">
        <f>+H23</f>
        <v>827000</v>
      </c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70">
        <f t="shared" si="6"/>
        <v>827000</v>
      </c>
      <c r="AC23" s="170">
        <f t="shared" si="5"/>
        <v>0</v>
      </c>
      <c r="AD23" s="168" t="s">
        <v>909</v>
      </c>
    </row>
    <row r="24" spans="1:30" s="61" customFormat="1">
      <c r="A24" s="168" t="s">
        <v>172</v>
      </c>
      <c r="B24" s="168" t="s">
        <v>173</v>
      </c>
      <c r="C24" s="168" t="s">
        <v>174</v>
      </c>
      <c r="D24" s="168">
        <v>4545.4545449999996</v>
      </c>
      <c r="E24" s="168">
        <v>50000</v>
      </c>
      <c r="F24" s="168">
        <f t="shared" si="3"/>
        <v>45454.545454999999</v>
      </c>
      <c r="G24" s="168" t="s">
        <v>8</v>
      </c>
      <c r="H24" s="169">
        <f t="shared" si="4"/>
        <v>45454.545454999999</v>
      </c>
      <c r="I24" s="169"/>
      <c r="J24" s="168"/>
      <c r="K24" s="168"/>
      <c r="L24" s="168"/>
      <c r="M24" s="168"/>
      <c r="N24" s="168"/>
      <c r="O24" s="168"/>
      <c r="P24" s="169">
        <f>+H24</f>
        <v>45454.545454999999</v>
      </c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70">
        <f t="shared" si="6"/>
        <v>45454.545454999999</v>
      </c>
      <c r="AC24" s="170">
        <f t="shared" si="5"/>
        <v>0</v>
      </c>
      <c r="AD24" s="168" t="s">
        <v>909</v>
      </c>
    </row>
    <row r="25" spans="1:30" s="61" customFormat="1">
      <c r="A25" s="168" t="s">
        <v>172</v>
      </c>
      <c r="B25" s="168" t="s">
        <v>80</v>
      </c>
      <c r="C25" s="168" t="s">
        <v>81</v>
      </c>
      <c r="D25" s="168">
        <v>3290.909091</v>
      </c>
      <c r="E25" s="168">
        <v>36200</v>
      </c>
      <c r="F25" s="168">
        <f t="shared" si="3"/>
        <v>32909.090908999999</v>
      </c>
      <c r="G25" s="168" t="s">
        <v>8</v>
      </c>
      <c r="H25" s="169">
        <f t="shared" si="4"/>
        <v>32909.090908999999</v>
      </c>
      <c r="I25" s="169">
        <f>+H25</f>
        <v>32909.090908999999</v>
      </c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  <c r="AA25" s="168"/>
      <c r="AB25" s="170">
        <f t="shared" si="6"/>
        <v>32909.090908999999</v>
      </c>
      <c r="AC25" s="170">
        <f t="shared" si="5"/>
        <v>0</v>
      </c>
      <c r="AD25" s="168" t="s">
        <v>909</v>
      </c>
    </row>
    <row r="26" spans="1:30" s="61" customFormat="1">
      <c r="A26" s="168" t="s">
        <v>172</v>
      </c>
      <c r="B26" s="168" t="s">
        <v>175</v>
      </c>
      <c r="C26" s="168" t="s">
        <v>176</v>
      </c>
      <c r="D26" s="168">
        <v>1820.91</v>
      </c>
      <c r="E26" s="168">
        <v>20030</v>
      </c>
      <c r="F26" s="168">
        <f t="shared" si="3"/>
        <v>18209.09</v>
      </c>
      <c r="G26" s="168" t="s">
        <v>8</v>
      </c>
      <c r="H26" s="169">
        <f t="shared" si="4"/>
        <v>18209.09</v>
      </c>
      <c r="I26" s="169">
        <f>+H26</f>
        <v>18209.09</v>
      </c>
      <c r="J26" s="168"/>
      <c r="K26" s="168"/>
      <c r="L26" s="168"/>
      <c r="M26" s="168"/>
      <c r="N26" s="171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  <c r="AA26" s="168"/>
      <c r="AB26" s="170">
        <f t="shared" si="6"/>
        <v>18209.09</v>
      </c>
      <c r="AC26" s="170">
        <f t="shared" si="5"/>
        <v>0</v>
      </c>
      <c r="AD26" s="168" t="s">
        <v>909</v>
      </c>
    </row>
    <row r="27" spans="1:30" s="61" customFormat="1">
      <c r="A27" s="168" t="s">
        <v>172</v>
      </c>
      <c r="B27" s="168" t="s">
        <v>103</v>
      </c>
      <c r="C27" s="168" t="s">
        <v>104</v>
      </c>
      <c r="D27" s="168">
        <v>18356.169999999998</v>
      </c>
      <c r="E27" s="168">
        <v>203900</v>
      </c>
      <c r="F27" s="168">
        <f t="shared" si="3"/>
        <v>185543.83000000002</v>
      </c>
      <c r="G27" s="168" t="s">
        <v>8</v>
      </c>
      <c r="H27" s="169">
        <f t="shared" si="4"/>
        <v>185543.83000000002</v>
      </c>
      <c r="I27" s="169">
        <f>+H27</f>
        <v>185543.83000000002</v>
      </c>
      <c r="J27" s="171"/>
      <c r="K27" s="168"/>
      <c r="L27" s="168"/>
      <c r="M27" s="168"/>
      <c r="N27" s="169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70">
        <f t="shared" si="6"/>
        <v>185543.83000000002</v>
      </c>
      <c r="AC27" s="170">
        <f t="shared" si="5"/>
        <v>0</v>
      </c>
      <c r="AD27" s="168" t="s">
        <v>909</v>
      </c>
    </row>
    <row r="28" spans="1:30" s="61" customFormat="1">
      <c r="A28" s="168" t="s">
        <v>177</v>
      </c>
      <c r="B28" s="168" t="s">
        <v>178</v>
      </c>
      <c r="C28" s="168" t="s">
        <v>179</v>
      </c>
      <c r="D28" s="168">
        <v>182136.36</v>
      </c>
      <c r="E28" s="168">
        <v>2003500</v>
      </c>
      <c r="F28" s="168">
        <f t="shared" si="3"/>
        <v>1821363.6400000001</v>
      </c>
      <c r="G28" s="168" t="s">
        <v>8</v>
      </c>
      <c r="H28" s="169">
        <f t="shared" si="4"/>
        <v>1821363.6400000001</v>
      </c>
      <c r="I28" s="168"/>
      <c r="J28" s="171"/>
      <c r="K28" s="168"/>
      <c r="L28" s="168"/>
      <c r="M28" s="168"/>
      <c r="N28" s="168"/>
      <c r="O28" s="168"/>
      <c r="P28" s="168"/>
      <c r="Q28" s="169">
        <f>+H28</f>
        <v>1821363.6400000001</v>
      </c>
      <c r="R28" s="168"/>
      <c r="S28" s="168"/>
      <c r="T28" s="168"/>
      <c r="U28" s="168"/>
      <c r="V28" s="168"/>
      <c r="W28" s="168"/>
      <c r="X28" s="168"/>
      <c r="Y28" s="168"/>
      <c r="Z28" s="168"/>
      <c r="AA28" s="168"/>
      <c r="AB28" s="170">
        <f t="shared" si="6"/>
        <v>1821363.6400000001</v>
      </c>
      <c r="AC28" s="170">
        <f t="shared" si="5"/>
        <v>0</v>
      </c>
      <c r="AD28" s="168" t="s">
        <v>909</v>
      </c>
    </row>
    <row r="29" spans="1:30" s="61" customFormat="1">
      <c r="A29" s="168" t="s">
        <v>180</v>
      </c>
      <c r="B29" s="168" t="s">
        <v>97</v>
      </c>
      <c r="C29" s="168" t="s">
        <v>98</v>
      </c>
      <c r="D29" s="168">
        <v>3636.36</v>
      </c>
      <c r="E29" s="168">
        <v>40000</v>
      </c>
      <c r="F29" s="168">
        <f t="shared" si="3"/>
        <v>36363.64</v>
      </c>
      <c r="G29" s="168" t="s">
        <v>8</v>
      </c>
      <c r="H29" s="169">
        <f t="shared" si="4"/>
        <v>36363.64</v>
      </c>
      <c r="I29" s="169"/>
      <c r="J29" s="168"/>
      <c r="K29" s="168"/>
      <c r="L29" s="168"/>
      <c r="M29" s="168"/>
      <c r="N29" s="168"/>
      <c r="O29" s="168"/>
      <c r="P29" s="169">
        <f>+H29</f>
        <v>36363.64</v>
      </c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  <c r="AB29" s="170">
        <f t="shared" si="6"/>
        <v>36363.64</v>
      </c>
      <c r="AC29" s="170">
        <f t="shared" si="5"/>
        <v>0</v>
      </c>
      <c r="AD29" s="168" t="s">
        <v>909</v>
      </c>
    </row>
    <row r="30" spans="1:30" s="61" customFormat="1">
      <c r="A30" s="168" t="s">
        <v>180</v>
      </c>
      <c r="B30" s="168" t="s">
        <v>116</v>
      </c>
      <c r="C30" s="168" t="s">
        <v>117</v>
      </c>
      <c r="D30" s="168">
        <v>0</v>
      </c>
      <c r="E30" s="168">
        <v>49500</v>
      </c>
      <c r="F30" s="168">
        <f t="shared" si="3"/>
        <v>49500</v>
      </c>
      <c r="G30" s="168" t="s">
        <v>55</v>
      </c>
      <c r="H30" s="169">
        <f t="shared" si="4"/>
        <v>49500</v>
      </c>
      <c r="I30" s="168"/>
      <c r="J30" s="168"/>
      <c r="K30" s="168"/>
      <c r="L30" s="168"/>
      <c r="M30" s="169">
        <f>+H30</f>
        <v>49500</v>
      </c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  <c r="AB30" s="170">
        <f t="shared" si="6"/>
        <v>49500</v>
      </c>
      <c r="AC30" s="170">
        <f t="shared" si="5"/>
        <v>0</v>
      </c>
      <c r="AD30" s="168" t="s">
        <v>909</v>
      </c>
    </row>
    <row r="31" spans="1:30" s="61" customFormat="1">
      <c r="A31" s="168" t="s">
        <v>180</v>
      </c>
      <c r="B31" s="168" t="s">
        <v>128</v>
      </c>
      <c r="C31" s="168" t="s">
        <v>129</v>
      </c>
      <c r="D31" s="168">
        <v>2263.64</v>
      </c>
      <c r="E31" s="168">
        <v>24900</v>
      </c>
      <c r="F31" s="168">
        <f t="shared" si="3"/>
        <v>22636.36</v>
      </c>
      <c r="G31" s="168" t="s">
        <v>8</v>
      </c>
      <c r="H31" s="169">
        <f t="shared" si="4"/>
        <v>22636.36</v>
      </c>
      <c r="I31" s="171">
        <f>+H31</f>
        <v>22636.36</v>
      </c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  <c r="AA31" s="168"/>
      <c r="AB31" s="170">
        <f t="shared" si="6"/>
        <v>22636.36</v>
      </c>
      <c r="AC31" s="170">
        <f t="shared" si="5"/>
        <v>0</v>
      </c>
      <c r="AD31" s="168" t="s">
        <v>909</v>
      </c>
    </row>
    <row r="32" spans="1:30" s="61" customFormat="1">
      <c r="A32" s="168" t="s">
        <v>181</v>
      </c>
      <c r="B32" s="168" t="s">
        <v>10</v>
      </c>
      <c r="C32" s="168" t="s">
        <v>11</v>
      </c>
      <c r="D32" s="168">
        <v>4545.45</v>
      </c>
      <c r="E32" s="168">
        <v>50000</v>
      </c>
      <c r="F32" s="168">
        <f t="shared" si="3"/>
        <v>45454.55</v>
      </c>
      <c r="G32" s="168" t="s">
        <v>8</v>
      </c>
      <c r="H32" s="169">
        <f t="shared" si="4"/>
        <v>45454.55</v>
      </c>
      <c r="I32" s="169"/>
      <c r="J32" s="168"/>
      <c r="K32" s="168"/>
      <c r="L32" s="168"/>
      <c r="M32" s="171"/>
      <c r="N32" s="168"/>
      <c r="O32" s="168"/>
      <c r="P32" s="169">
        <f>+H32</f>
        <v>45454.55</v>
      </c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  <c r="AB32" s="170">
        <f t="shared" si="6"/>
        <v>45454.55</v>
      </c>
      <c r="AC32" s="170">
        <f t="shared" si="5"/>
        <v>0</v>
      </c>
      <c r="AD32" s="168" t="s">
        <v>909</v>
      </c>
    </row>
    <row r="33" spans="1:30" s="61" customFormat="1">
      <c r="A33" s="168" t="s">
        <v>182</v>
      </c>
      <c r="B33" s="168" t="s">
        <v>89</v>
      </c>
      <c r="C33" s="168" t="s">
        <v>90</v>
      </c>
      <c r="D33" s="168">
        <v>20401.785714000001</v>
      </c>
      <c r="E33" s="168">
        <v>228500</v>
      </c>
      <c r="F33" s="168">
        <f t="shared" si="3"/>
        <v>208098.214286</v>
      </c>
      <c r="G33" s="168" t="s">
        <v>8</v>
      </c>
      <c r="H33" s="169">
        <f t="shared" si="4"/>
        <v>208098.214286</v>
      </c>
      <c r="I33" s="171">
        <f>+H33</f>
        <v>208098.214286</v>
      </c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70">
        <f t="shared" si="6"/>
        <v>208098.214286</v>
      </c>
      <c r="AC33" s="170">
        <f t="shared" si="5"/>
        <v>0</v>
      </c>
      <c r="AD33" s="168" t="s">
        <v>909</v>
      </c>
    </row>
    <row r="34" spans="1:30" s="61" customFormat="1">
      <c r="A34" s="168" t="s">
        <v>182</v>
      </c>
      <c r="B34" s="168" t="s">
        <v>183</v>
      </c>
      <c r="C34" s="168" t="s">
        <v>184</v>
      </c>
      <c r="D34" s="168">
        <v>14090.91</v>
      </c>
      <c r="E34" s="168">
        <v>155000</v>
      </c>
      <c r="F34" s="168">
        <f t="shared" si="3"/>
        <v>140909.09</v>
      </c>
      <c r="G34" s="168" t="s">
        <v>8</v>
      </c>
      <c r="H34" s="169">
        <f t="shared" si="4"/>
        <v>140909.09</v>
      </c>
      <c r="I34" s="169">
        <f>+H34</f>
        <v>140909.09</v>
      </c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70">
        <f t="shared" si="6"/>
        <v>140909.09</v>
      </c>
      <c r="AC34" s="170">
        <f t="shared" si="5"/>
        <v>0</v>
      </c>
      <c r="AD34" s="168" t="s">
        <v>909</v>
      </c>
    </row>
    <row r="35" spans="1:30" s="61" customFormat="1">
      <c r="A35" s="168" t="s">
        <v>182</v>
      </c>
      <c r="B35" s="168" t="s">
        <v>128</v>
      </c>
      <c r="C35" s="168" t="s">
        <v>129</v>
      </c>
      <c r="D35" s="168">
        <v>2909.09</v>
      </c>
      <c r="E35" s="168">
        <v>32000</v>
      </c>
      <c r="F35" s="168">
        <f t="shared" si="3"/>
        <v>29090.91</v>
      </c>
      <c r="G35" s="168" t="s">
        <v>8</v>
      </c>
      <c r="H35" s="169">
        <f t="shared" si="4"/>
        <v>29090.91</v>
      </c>
      <c r="I35" s="169">
        <f>+H35</f>
        <v>29090.91</v>
      </c>
      <c r="J35" s="168"/>
      <c r="K35" s="168"/>
      <c r="L35" s="168"/>
      <c r="M35" s="169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8"/>
      <c r="AB35" s="170">
        <f t="shared" si="6"/>
        <v>29090.91</v>
      </c>
      <c r="AC35" s="170">
        <f t="shared" si="5"/>
        <v>0</v>
      </c>
      <c r="AD35" s="168" t="s">
        <v>909</v>
      </c>
    </row>
    <row r="36" spans="1:30" s="61" customFormat="1">
      <c r="A36" s="168" t="s">
        <v>182</v>
      </c>
      <c r="B36" s="168" t="s">
        <v>103</v>
      </c>
      <c r="C36" s="168" t="s">
        <v>104</v>
      </c>
      <c r="D36" s="168">
        <v>3145.45</v>
      </c>
      <c r="E36" s="168">
        <v>34600</v>
      </c>
      <c r="F36" s="168">
        <f t="shared" si="3"/>
        <v>31454.55</v>
      </c>
      <c r="G36" s="168" t="s">
        <v>8</v>
      </c>
      <c r="H36" s="169">
        <f t="shared" si="4"/>
        <v>31454.55</v>
      </c>
      <c r="I36" s="169">
        <f>+H36</f>
        <v>31454.55</v>
      </c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  <c r="AA36" s="168"/>
      <c r="AB36" s="170">
        <f t="shared" si="6"/>
        <v>31454.55</v>
      </c>
      <c r="AC36" s="170">
        <f t="shared" si="5"/>
        <v>0</v>
      </c>
      <c r="AD36" s="168" t="s">
        <v>909</v>
      </c>
    </row>
    <row r="37" spans="1:30" s="61" customFormat="1">
      <c r="A37" s="168" t="s">
        <v>185</v>
      </c>
      <c r="B37" s="168" t="s">
        <v>186</v>
      </c>
      <c r="C37" s="168" t="s">
        <v>187</v>
      </c>
      <c r="D37" s="168">
        <v>4331.82</v>
      </c>
      <c r="E37" s="168">
        <v>47650</v>
      </c>
      <c r="F37" s="168">
        <f t="shared" si="3"/>
        <v>43318.18</v>
      </c>
      <c r="G37" s="168" t="s">
        <v>8</v>
      </c>
      <c r="H37" s="169">
        <f t="shared" si="4"/>
        <v>43318.18</v>
      </c>
      <c r="I37" s="171"/>
      <c r="J37" s="168"/>
      <c r="K37" s="169">
        <f>+H37</f>
        <v>43318.18</v>
      </c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70">
        <f t="shared" si="6"/>
        <v>43318.18</v>
      </c>
      <c r="AC37" s="170">
        <f t="shared" si="5"/>
        <v>0</v>
      </c>
      <c r="AD37" s="168" t="s">
        <v>909</v>
      </c>
    </row>
    <row r="38" spans="1:30" s="61" customFormat="1">
      <c r="A38" s="168" t="s">
        <v>188</v>
      </c>
      <c r="B38" s="168" t="s">
        <v>116</v>
      </c>
      <c r="C38" s="168" t="s">
        <v>117</v>
      </c>
      <c r="D38" s="168">
        <v>0</v>
      </c>
      <c r="E38" s="168">
        <v>49500</v>
      </c>
      <c r="F38" s="168">
        <f t="shared" si="3"/>
        <v>49500</v>
      </c>
      <c r="G38" s="168" t="s">
        <v>55</v>
      </c>
      <c r="H38" s="169">
        <f t="shared" si="4"/>
        <v>49500</v>
      </c>
      <c r="I38" s="168"/>
      <c r="J38" s="168"/>
      <c r="K38" s="169"/>
      <c r="L38" s="168"/>
      <c r="M38" s="169">
        <f>+H38</f>
        <v>49500</v>
      </c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8"/>
      <c r="AB38" s="170">
        <f t="shared" si="6"/>
        <v>49500</v>
      </c>
      <c r="AC38" s="170">
        <f t="shared" si="5"/>
        <v>0</v>
      </c>
      <c r="AD38" s="168" t="s">
        <v>909</v>
      </c>
    </row>
    <row r="39" spans="1:30" s="61" customFormat="1">
      <c r="A39" s="168" t="s">
        <v>189</v>
      </c>
      <c r="B39" s="168" t="s">
        <v>190</v>
      </c>
      <c r="C39" s="168" t="s">
        <v>191</v>
      </c>
      <c r="D39" s="168">
        <v>9000</v>
      </c>
      <c r="E39" s="168">
        <v>99000</v>
      </c>
      <c r="F39" s="168">
        <f t="shared" si="3"/>
        <v>90000</v>
      </c>
      <c r="G39" s="168" t="s">
        <v>8</v>
      </c>
      <c r="H39" s="169">
        <f t="shared" si="4"/>
        <v>90000</v>
      </c>
      <c r="I39" s="171"/>
      <c r="J39" s="168"/>
      <c r="K39" s="169">
        <f>+H39</f>
        <v>90000</v>
      </c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  <c r="AA39" s="168"/>
      <c r="AB39" s="170">
        <f t="shared" si="6"/>
        <v>90000</v>
      </c>
      <c r="AC39" s="170">
        <f t="shared" si="5"/>
        <v>0</v>
      </c>
      <c r="AD39" s="168" t="s">
        <v>909</v>
      </c>
    </row>
    <row r="40" spans="1:30" s="61" customFormat="1">
      <c r="A40" s="168" t="s">
        <v>189</v>
      </c>
      <c r="B40" s="168" t="s">
        <v>151</v>
      </c>
      <c r="C40" s="168" t="s">
        <v>152</v>
      </c>
      <c r="D40" s="168">
        <v>0</v>
      </c>
      <c r="E40" s="168">
        <v>290360</v>
      </c>
      <c r="F40" s="168">
        <f t="shared" si="3"/>
        <v>290360</v>
      </c>
      <c r="G40" s="168" t="s">
        <v>55</v>
      </c>
      <c r="H40" s="169">
        <f t="shared" si="4"/>
        <v>290360</v>
      </c>
      <c r="I40" s="171"/>
      <c r="J40" s="168"/>
      <c r="K40" s="169">
        <f>+H40</f>
        <v>290360</v>
      </c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8"/>
      <c r="AB40" s="170">
        <f t="shared" si="6"/>
        <v>290360</v>
      </c>
      <c r="AC40" s="170">
        <f t="shared" si="5"/>
        <v>0</v>
      </c>
      <c r="AD40" s="168" t="s">
        <v>909</v>
      </c>
    </row>
    <row r="41" spans="1:30" s="61" customFormat="1">
      <c r="A41" s="168" t="s">
        <v>192</v>
      </c>
      <c r="B41" s="168" t="s">
        <v>94</v>
      </c>
      <c r="C41" s="168" t="s">
        <v>95</v>
      </c>
      <c r="D41" s="168">
        <v>16818.55</v>
      </c>
      <c r="E41" s="168">
        <v>185004</v>
      </c>
      <c r="F41" s="168">
        <f t="shared" si="3"/>
        <v>168185.45</v>
      </c>
      <c r="G41" s="168" t="s">
        <v>8</v>
      </c>
      <c r="H41" s="169">
        <f t="shared" si="4"/>
        <v>168185.45</v>
      </c>
      <c r="I41" s="169"/>
      <c r="J41" s="168"/>
      <c r="K41" s="168"/>
      <c r="L41" s="168"/>
      <c r="M41" s="168"/>
      <c r="N41" s="168"/>
      <c r="O41" s="168"/>
      <c r="P41" s="169">
        <f>+H41</f>
        <v>168185.45</v>
      </c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70">
        <f t="shared" si="6"/>
        <v>168185.45</v>
      </c>
      <c r="AC41" s="170">
        <f t="shared" si="5"/>
        <v>0</v>
      </c>
      <c r="AD41" s="168" t="s">
        <v>909</v>
      </c>
    </row>
    <row r="42" spans="1:30" s="61" customFormat="1">
      <c r="A42" s="168" t="s">
        <v>192</v>
      </c>
      <c r="B42" s="168" t="s">
        <v>140</v>
      </c>
      <c r="C42" s="168" t="s">
        <v>141</v>
      </c>
      <c r="D42" s="168">
        <v>0</v>
      </c>
      <c r="E42" s="168">
        <v>57900</v>
      </c>
      <c r="F42" s="168">
        <f t="shared" si="3"/>
        <v>57900</v>
      </c>
      <c r="G42" s="168" t="s">
        <v>55</v>
      </c>
      <c r="H42" s="169">
        <f t="shared" si="4"/>
        <v>57900</v>
      </c>
      <c r="I42" s="168"/>
      <c r="J42" s="168"/>
      <c r="K42" s="168"/>
      <c r="L42" s="168"/>
      <c r="M42" s="169">
        <f>+H42</f>
        <v>57900</v>
      </c>
      <c r="N42" s="171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  <c r="AA42" s="168"/>
      <c r="AB42" s="170">
        <f t="shared" si="6"/>
        <v>57900</v>
      </c>
      <c r="AC42" s="170">
        <f t="shared" si="5"/>
        <v>0</v>
      </c>
      <c r="AD42" s="168" t="s">
        <v>909</v>
      </c>
    </row>
    <row r="43" spans="1:30" s="61" customFormat="1">
      <c r="A43" s="168" t="s">
        <v>192</v>
      </c>
      <c r="B43" s="168" t="s">
        <v>193</v>
      </c>
      <c r="C43" s="168" t="s">
        <v>194</v>
      </c>
      <c r="D43" s="168">
        <v>0</v>
      </c>
      <c r="E43" s="168">
        <v>61520</v>
      </c>
      <c r="F43" s="168">
        <f t="shared" si="3"/>
        <v>61520</v>
      </c>
      <c r="G43" s="168" t="s">
        <v>8</v>
      </c>
      <c r="H43" s="169">
        <f t="shared" si="4"/>
        <v>61520</v>
      </c>
      <c r="I43" s="168"/>
      <c r="J43" s="168"/>
      <c r="K43" s="169">
        <f>+H43</f>
        <v>61520</v>
      </c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70">
        <f t="shared" si="6"/>
        <v>61520</v>
      </c>
      <c r="AC43" s="170">
        <f t="shared" si="5"/>
        <v>0</v>
      </c>
      <c r="AD43" s="168" t="s">
        <v>909</v>
      </c>
    </row>
    <row r="44" spans="1:30" s="61" customFormat="1">
      <c r="A44" s="168" t="s">
        <v>195</v>
      </c>
      <c r="B44" s="168" t="s">
        <v>156</v>
      </c>
      <c r="C44" s="168" t="s">
        <v>157</v>
      </c>
      <c r="D44" s="168">
        <v>4545.45</v>
      </c>
      <c r="E44" s="168">
        <v>50000</v>
      </c>
      <c r="F44" s="168">
        <f t="shared" si="3"/>
        <v>45454.55</v>
      </c>
      <c r="G44" s="168" t="s">
        <v>8</v>
      </c>
      <c r="H44" s="169">
        <f t="shared" si="4"/>
        <v>45454.55</v>
      </c>
      <c r="I44" s="169"/>
      <c r="J44" s="168"/>
      <c r="K44" s="168"/>
      <c r="L44" s="168"/>
      <c r="M44" s="168"/>
      <c r="N44" s="168"/>
      <c r="O44" s="168"/>
      <c r="P44" s="169">
        <f>+H44</f>
        <v>45454.55</v>
      </c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8"/>
      <c r="AB44" s="170">
        <f t="shared" si="6"/>
        <v>45454.55</v>
      </c>
      <c r="AC44" s="170">
        <f t="shared" si="5"/>
        <v>0</v>
      </c>
      <c r="AD44" s="168" t="s">
        <v>909</v>
      </c>
    </row>
    <row r="45" spans="1:30" s="61" customFormat="1">
      <c r="A45" s="168" t="s">
        <v>195</v>
      </c>
      <c r="B45" s="168" t="s">
        <v>196</v>
      </c>
      <c r="C45" s="168" t="s">
        <v>197</v>
      </c>
      <c r="D45" s="168">
        <v>0</v>
      </c>
      <c r="E45" s="168">
        <v>411600</v>
      </c>
      <c r="F45" s="168">
        <f t="shared" si="3"/>
        <v>411600</v>
      </c>
      <c r="G45" s="168" t="s">
        <v>8</v>
      </c>
      <c r="H45" s="169">
        <f t="shared" si="4"/>
        <v>411600</v>
      </c>
      <c r="I45" s="168"/>
      <c r="J45" s="168"/>
      <c r="K45" s="169">
        <f>+H45</f>
        <v>411600</v>
      </c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  <c r="AA45" s="168"/>
      <c r="AB45" s="170">
        <f t="shared" si="6"/>
        <v>411600</v>
      </c>
      <c r="AC45" s="170">
        <f t="shared" si="5"/>
        <v>0</v>
      </c>
      <c r="AD45" s="168" t="s">
        <v>909</v>
      </c>
    </row>
    <row r="46" spans="1:30" s="61" customFormat="1">
      <c r="A46" s="168" t="s">
        <v>198</v>
      </c>
      <c r="B46" s="168" t="s">
        <v>199</v>
      </c>
      <c r="C46" s="168" t="s">
        <v>200</v>
      </c>
      <c r="D46" s="168">
        <v>4545.45</v>
      </c>
      <c r="E46" s="168">
        <v>50000</v>
      </c>
      <c r="F46" s="168">
        <f t="shared" si="3"/>
        <v>45454.55</v>
      </c>
      <c r="G46" s="168" t="s">
        <v>8</v>
      </c>
      <c r="H46" s="169">
        <f t="shared" si="4"/>
        <v>45454.55</v>
      </c>
      <c r="I46" s="168"/>
      <c r="J46" s="171"/>
      <c r="K46" s="169">
        <f>+H46</f>
        <v>45454.55</v>
      </c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  <c r="AA46" s="168"/>
      <c r="AB46" s="170">
        <f t="shared" si="6"/>
        <v>45454.55</v>
      </c>
      <c r="AC46" s="170">
        <f t="shared" si="5"/>
        <v>0</v>
      </c>
      <c r="AD46" s="168" t="s">
        <v>909</v>
      </c>
    </row>
    <row r="47" spans="1:30" s="61" customFormat="1">
      <c r="A47" s="168" t="s">
        <v>198</v>
      </c>
      <c r="B47" s="168" t="s">
        <v>201</v>
      </c>
      <c r="C47" s="168" t="s">
        <v>202</v>
      </c>
      <c r="D47" s="168">
        <v>10633.04</v>
      </c>
      <c r="E47" s="168">
        <v>119090</v>
      </c>
      <c r="F47" s="168">
        <f t="shared" si="3"/>
        <v>108456.95999999999</v>
      </c>
      <c r="G47" s="168" t="s">
        <v>8</v>
      </c>
      <c r="H47" s="169">
        <f t="shared" si="4"/>
        <v>108456.95999999999</v>
      </c>
      <c r="I47" s="168"/>
      <c r="J47" s="168"/>
      <c r="K47" s="169">
        <f>+H47</f>
        <v>108456.95999999999</v>
      </c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70">
        <f t="shared" si="6"/>
        <v>108456.95999999999</v>
      </c>
      <c r="AC47" s="170">
        <f t="shared" si="5"/>
        <v>0</v>
      </c>
      <c r="AD47" s="168" t="s">
        <v>909</v>
      </c>
    </row>
    <row r="48" spans="1:30" s="61" customFormat="1">
      <c r="A48" s="168" t="s">
        <v>198</v>
      </c>
      <c r="B48" s="168" t="s">
        <v>140</v>
      </c>
      <c r="C48" s="168" t="s">
        <v>141</v>
      </c>
      <c r="D48" s="168">
        <v>0</v>
      </c>
      <c r="E48" s="168">
        <v>50000</v>
      </c>
      <c r="F48" s="168">
        <f t="shared" si="3"/>
        <v>50000</v>
      </c>
      <c r="G48" s="168" t="s">
        <v>55</v>
      </c>
      <c r="H48" s="169">
        <f t="shared" si="4"/>
        <v>50000</v>
      </c>
      <c r="I48" s="168"/>
      <c r="J48" s="168"/>
      <c r="K48" s="168"/>
      <c r="L48" s="168"/>
      <c r="M48" s="169">
        <f>+H48</f>
        <v>50000</v>
      </c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  <c r="AA48" s="168"/>
      <c r="AB48" s="170">
        <f t="shared" si="6"/>
        <v>50000</v>
      </c>
      <c r="AC48" s="170">
        <f t="shared" si="5"/>
        <v>0</v>
      </c>
      <c r="AD48" s="168" t="s">
        <v>909</v>
      </c>
    </row>
    <row r="49" spans="1:30" s="61" customFormat="1">
      <c r="A49" s="168" t="s">
        <v>198</v>
      </c>
      <c r="B49" s="168" t="s">
        <v>203</v>
      </c>
      <c r="C49" s="168" t="s">
        <v>204</v>
      </c>
      <c r="D49" s="168">
        <v>0</v>
      </c>
      <c r="E49" s="168">
        <v>27500</v>
      </c>
      <c r="F49" s="168">
        <f t="shared" si="3"/>
        <v>27500</v>
      </c>
      <c r="G49" s="168" t="s">
        <v>8</v>
      </c>
      <c r="H49" s="169">
        <f t="shared" si="4"/>
        <v>27500</v>
      </c>
      <c r="I49" s="171"/>
      <c r="J49" s="168"/>
      <c r="K49" s="169">
        <f>+H49</f>
        <v>27500</v>
      </c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70">
        <f t="shared" si="6"/>
        <v>27500</v>
      </c>
      <c r="AC49" s="170">
        <f t="shared" si="5"/>
        <v>0</v>
      </c>
      <c r="AD49" s="168" t="s">
        <v>909</v>
      </c>
    </row>
    <row r="50" spans="1:30" s="61" customFormat="1">
      <c r="A50" s="168" t="s">
        <v>198</v>
      </c>
      <c r="B50" s="168" t="s">
        <v>87</v>
      </c>
      <c r="C50" s="168" t="s">
        <v>88</v>
      </c>
      <c r="D50" s="168">
        <v>9090.91</v>
      </c>
      <c r="E50" s="168">
        <v>100000</v>
      </c>
      <c r="F50" s="168">
        <f t="shared" si="3"/>
        <v>90909.09</v>
      </c>
      <c r="G50" s="168" t="s">
        <v>8</v>
      </c>
      <c r="H50" s="169">
        <f t="shared" si="4"/>
        <v>90909.09</v>
      </c>
      <c r="I50" s="169"/>
      <c r="J50" s="168"/>
      <c r="K50" s="168"/>
      <c r="L50" s="168"/>
      <c r="M50" s="171"/>
      <c r="N50" s="168"/>
      <c r="O50" s="168"/>
      <c r="P50" s="169">
        <f t="shared" ref="P50:P51" si="8">+H50</f>
        <v>90909.09</v>
      </c>
      <c r="Q50" s="168"/>
      <c r="R50" s="168"/>
      <c r="S50" s="168"/>
      <c r="T50" s="168"/>
      <c r="U50" s="168"/>
      <c r="V50" s="168"/>
      <c r="W50" s="168"/>
      <c r="X50" s="168"/>
      <c r="Y50" s="168"/>
      <c r="Z50" s="168"/>
      <c r="AA50" s="168"/>
      <c r="AB50" s="170">
        <f t="shared" si="6"/>
        <v>90909.09</v>
      </c>
      <c r="AC50" s="170">
        <f t="shared" si="5"/>
        <v>0</v>
      </c>
      <c r="AD50" s="168" t="s">
        <v>909</v>
      </c>
    </row>
    <row r="51" spans="1:30" s="61" customFormat="1">
      <c r="A51" s="168" t="s">
        <v>205</v>
      </c>
      <c r="B51" s="168" t="s">
        <v>206</v>
      </c>
      <c r="C51" s="168" t="s">
        <v>207</v>
      </c>
      <c r="D51" s="168">
        <v>1090.9100000000001</v>
      </c>
      <c r="E51" s="168">
        <v>12000</v>
      </c>
      <c r="F51" s="168">
        <f t="shared" si="3"/>
        <v>10909.09</v>
      </c>
      <c r="G51" s="168" t="s">
        <v>8</v>
      </c>
      <c r="H51" s="169">
        <f t="shared" si="4"/>
        <v>10909.09</v>
      </c>
      <c r="I51" s="169"/>
      <c r="J51" s="169"/>
      <c r="K51" s="169"/>
      <c r="L51" s="168"/>
      <c r="M51" s="168"/>
      <c r="N51" s="168"/>
      <c r="O51" s="168"/>
      <c r="P51" s="169">
        <f t="shared" si="8"/>
        <v>10909.09</v>
      </c>
      <c r="Q51" s="168"/>
      <c r="R51" s="168"/>
      <c r="S51" s="168"/>
      <c r="T51" s="168"/>
      <c r="U51" s="168"/>
      <c r="V51" s="168"/>
      <c r="W51" s="168"/>
      <c r="X51" s="168"/>
      <c r="Y51" s="168"/>
      <c r="Z51" s="168"/>
      <c r="AA51" s="168"/>
      <c r="AB51" s="170">
        <f t="shared" si="6"/>
        <v>10909.09</v>
      </c>
      <c r="AC51" s="170">
        <f t="shared" si="5"/>
        <v>0</v>
      </c>
      <c r="AD51" s="168" t="s">
        <v>909</v>
      </c>
    </row>
    <row r="52" spans="1:30" s="61" customFormat="1">
      <c r="A52" s="168" t="s">
        <v>208</v>
      </c>
      <c r="B52" s="168" t="s">
        <v>209</v>
      </c>
      <c r="C52" s="168" t="s">
        <v>210</v>
      </c>
      <c r="D52" s="168">
        <v>4909.09</v>
      </c>
      <c r="E52" s="168">
        <v>54000</v>
      </c>
      <c r="F52" s="168">
        <f t="shared" si="3"/>
        <v>49090.91</v>
      </c>
      <c r="G52" s="168" t="s">
        <v>8</v>
      </c>
      <c r="H52" s="169">
        <f t="shared" si="4"/>
        <v>49090.91</v>
      </c>
      <c r="I52" s="169">
        <f>+H52</f>
        <v>49090.91</v>
      </c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  <c r="AA52" s="168"/>
      <c r="AB52" s="170">
        <f t="shared" si="6"/>
        <v>49090.91</v>
      </c>
      <c r="AC52" s="170">
        <f t="shared" si="5"/>
        <v>0</v>
      </c>
      <c r="AD52" s="168" t="s">
        <v>909</v>
      </c>
    </row>
    <row r="53" spans="1:30" s="61" customFormat="1">
      <c r="A53" s="168" t="s">
        <v>208</v>
      </c>
      <c r="B53" s="168" t="s">
        <v>211</v>
      </c>
      <c r="C53" s="168" t="s">
        <v>212</v>
      </c>
      <c r="D53" s="168">
        <v>0</v>
      </c>
      <c r="E53" s="168">
        <v>257800</v>
      </c>
      <c r="F53" s="168">
        <f t="shared" si="3"/>
        <v>257800</v>
      </c>
      <c r="G53" s="168" t="s">
        <v>8</v>
      </c>
      <c r="H53" s="169">
        <f t="shared" si="4"/>
        <v>257800</v>
      </c>
      <c r="I53" s="171">
        <f>+H53</f>
        <v>257800</v>
      </c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70">
        <f t="shared" si="6"/>
        <v>257800</v>
      </c>
      <c r="AC53" s="170">
        <f t="shared" si="5"/>
        <v>0</v>
      </c>
      <c r="AD53" s="168" t="s">
        <v>909</v>
      </c>
    </row>
    <row r="54" spans="1:30" s="61" customFormat="1">
      <c r="A54" s="168" t="s">
        <v>208</v>
      </c>
      <c r="B54" s="168" t="s">
        <v>211</v>
      </c>
      <c r="C54" s="168" t="s">
        <v>212</v>
      </c>
      <c r="D54" s="168">
        <v>0</v>
      </c>
      <c r="E54" s="168">
        <v>257800</v>
      </c>
      <c r="F54" s="168">
        <f t="shared" si="3"/>
        <v>257800</v>
      </c>
      <c r="G54" s="168" t="s">
        <v>8</v>
      </c>
      <c r="H54" s="169">
        <f t="shared" si="4"/>
        <v>257800</v>
      </c>
      <c r="I54" s="171">
        <f>+H54</f>
        <v>257800</v>
      </c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70">
        <f t="shared" si="6"/>
        <v>257800</v>
      </c>
      <c r="AC54" s="170">
        <f t="shared" si="5"/>
        <v>0</v>
      </c>
      <c r="AD54" s="168" t="s">
        <v>909</v>
      </c>
    </row>
    <row r="55" spans="1:30" s="61" customFormat="1">
      <c r="A55" s="168" t="s">
        <v>208</v>
      </c>
      <c r="B55" s="168" t="s">
        <v>213</v>
      </c>
      <c r="C55" s="168" t="s">
        <v>214</v>
      </c>
      <c r="D55" s="168">
        <v>2727.27</v>
      </c>
      <c r="E55" s="168">
        <v>30000</v>
      </c>
      <c r="F55" s="168">
        <f t="shared" si="3"/>
        <v>27272.73</v>
      </c>
      <c r="G55" s="168" t="s">
        <v>8</v>
      </c>
      <c r="H55" s="169">
        <f t="shared" si="4"/>
        <v>27272.73</v>
      </c>
      <c r="I55" s="168"/>
      <c r="J55" s="168"/>
      <c r="K55" s="169">
        <f>+H55</f>
        <v>27272.73</v>
      </c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  <c r="AB55" s="170">
        <f t="shared" si="6"/>
        <v>27272.73</v>
      </c>
      <c r="AC55" s="170">
        <f t="shared" si="5"/>
        <v>0</v>
      </c>
      <c r="AD55" s="168" t="s">
        <v>909</v>
      </c>
    </row>
    <row r="56" spans="1:30" s="61" customFormat="1">
      <c r="A56" s="168" t="s">
        <v>208</v>
      </c>
      <c r="B56" s="168" t="s">
        <v>59</v>
      </c>
      <c r="C56" s="168" t="s">
        <v>60</v>
      </c>
      <c r="D56" s="168">
        <v>0</v>
      </c>
      <c r="E56" s="168">
        <v>1933133.47</v>
      </c>
      <c r="F56" s="168">
        <f t="shared" si="3"/>
        <v>1933133.47</v>
      </c>
      <c r="G56" s="168" t="s">
        <v>55</v>
      </c>
      <c r="H56" s="169">
        <f t="shared" si="4"/>
        <v>1933133.47</v>
      </c>
      <c r="I56" s="168"/>
      <c r="J56" s="169">
        <f>+H56</f>
        <v>1933133.47</v>
      </c>
      <c r="K56" s="171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70">
        <f t="shared" si="6"/>
        <v>1933133.47</v>
      </c>
      <c r="AC56" s="170">
        <f t="shared" si="5"/>
        <v>0</v>
      </c>
      <c r="AD56" s="168" t="s">
        <v>909</v>
      </c>
    </row>
    <row r="57" spans="1:30" s="61" customFormat="1">
      <c r="A57" s="168" t="s">
        <v>208</v>
      </c>
      <c r="B57" s="168" t="s">
        <v>80</v>
      </c>
      <c r="C57" s="168" t="s">
        <v>81</v>
      </c>
      <c r="D57" s="168">
        <v>640.90909099999999</v>
      </c>
      <c r="E57" s="168">
        <v>7050</v>
      </c>
      <c r="F57" s="168">
        <f t="shared" si="3"/>
        <v>6409.0909090000005</v>
      </c>
      <c r="G57" s="168" t="s">
        <v>8</v>
      </c>
      <c r="H57" s="169">
        <f t="shared" si="4"/>
        <v>6409.0909090000005</v>
      </c>
      <c r="I57" s="168"/>
      <c r="J57" s="168"/>
      <c r="K57" s="169"/>
      <c r="L57" s="168"/>
      <c r="M57" s="169">
        <f>+H57</f>
        <v>6409.0909090000005</v>
      </c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70">
        <f t="shared" si="6"/>
        <v>6409.0909090000005</v>
      </c>
      <c r="AC57" s="170">
        <f t="shared" si="5"/>
        <v>0</v>
      </c>
      <c r="AD57" s="168" t="s">
        <v>909</v>
      </c>
    </row>
    <row r="58" spans="1:30" s="61" customFormat="1">
      <c r="A58" s="168" t="s">
        <v>215</v>
      </c>
      <c r="B58" s="168" t="s">
        <v>10</v>
      </c>
      <c r="C58" s="168" t="s">
        <v>11</v>
      </c>
      <c r="D58" s="168">
        <v>4545.45</v>
      </c>
      <c r="E58" s="168">
        <v>50000</v>
      </c>
      <c r="F58" s="168">
        <f t="shared" si="3"/>
        <v>45454.55</v>
      </c>
      <c r="G58" s="168" t="s">
        <v>8</v>
      </c>
      <c r="H58" s="169">
        <f t="shared" si="4"/>
        <v>45454.55</v>
      </c>
      <c r="I58" s="169"/>
      <c r="J58" s="168"/>
      <c r="K58" s="171"/>
      <c r="L58" s="168"/>
      <c r="M58" s="168"/>
      <c r="N58" s="168"/>
      <c r="O58" s="168"/>
      <c r="P58" s="169">
        <f t="shared" ref="P58:P64" si="9">+H58</f>
        <v>45454.55</v>
      </c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70">
        <f t="shared" si="6"/>
        <v>45454.55</v>
      </c>
      <c r="AC58" s="170">
        <f t="shared" si="5"/>
        <v>0</v>
      </c>
      <c r="AD58" s="168" t="s">
        <v>909</v>
      </c>
    </row>
    <row r="59" spans="1:30" s="61" customFormat="1">
      <c r="A59" s="168" t="s">
        <v>216</v>
      </c>
      <c r="B59" s="168" t="s">
        <v>87</v>
      </c>
      <c r="C59" s="168" t="s">
        <v>88</v>
      </c>
      <c r="D59" s="168">
        <v>14545.45</v>
      </c>
      <c r="E59" s="168">
        <v>160000</v>
      </c>
      <c r="F59" s="168">
        <f t="shared" si="3"/>
        <v>145454.54999999999</v>
      </c>
      <c r="G59" s="168" t="s">
        <v>8</v>
      </c>
      <c r="H59" s="169">
        <f t="shared" si="4"/>
        <v>145454.54999999999</v>
      </c>
      <c r="I59" s="169"/>
      <c r="J59" s="168"/>
      <c r="K59" s="168"/>
      <c r="L59" s="168"/>
      <c r="M59" s="168"/>
      <c r="N59" s="168"/>
      <c r="O59" s="168"/>
      <c r="P59" s="169">
        <f t="shared" si="9"/>
        <v>145454.54999999999</v>
      </c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70">
        <f t="shared" si="6"/>
        <v>145454.54999999999</v>
      </c>
      <c r="AC59" s="170">
        <f t="shared" si="5"/>
        <v>0</v>
      </c>
      <c r="AD59" s="168" t="s">
        <v>909</v>
      </c>
    </row>
    <row r="60" spans="1:30" s="61" customFormat="1">
      <c r="A60" s="168" t="s">
        <v>217</v>
      </c>
      <c r="B60" s="168" t="s">
        <v>218</v>
      </c>
      <c r="C60" s="168" t="s">
        <v>219</v>
      </c>
      <c r="D60" s="168">
        <v>5818.18</v>
      </c>
      <c r="E60" s="168">
        <v>64000</v>
      </c>
      <c r="F60" s="168">
        <f t="shared" si="3"/>
        <v>58181.82</v>
      </c>
      <c r="G60" s="168" t="s">
        <v>8</v>
      </c>
      <c r="H60" s="169">
        <f t="shared" si="4"/>
        <v>58181.82</v>
      </c>
      <c r="I60" s="169"/>
      <c r="J60" s="168"/>
      <c r="K60" s="168"/>
      <c r="L60" s="168"/>
      <c r="M60" s="168"/>
      <c r="N60" s="168"/>
      <c r="O60" s="168"/>
      <c r="P60" s="169">
        <f t="shared" si="9"/>
        <v>58181.82</v>
      </c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70">
        <f t="shared" si="6"/>
        <v>58181.82</v>
      </c>
      <c r="AC60" s="170">
        <f t="shared" si="5"/>
        <v>0</v>
      </c>
      <c r="AD60" s="168" t="s">
        <v>909</v>
      </c>
    </row>
    <row r="61" spans="1:30" s="61" customFormat="1">
      <c r="A61" s="168" t="s">
        <v>217</v>
      </c>
      <c r="B61" s="168" t="s">
        <v>220</v>
      </c>
      <c r="C61" s="168" t="s">
        <v>221</v>
      </c>
      <c r="D61" s="168">
        <v>9090.91</v>
      </c>
      <c r="E61" s="168">
        <v>100000</v>
      </c>
      <c r="F61" s="168">
        <f t="shared" si="3"/>
        <v>90909.09</v>
      </c>
      <c r="G61" s="168" t="s">
        <v>8</v>
      </c>
      <c r="H61" s="169">
        <f t="shared" si="4"/>
        <v>90909.09</v>
      </c>
      <c r="I61" s="169"/>
      <c r="J61" s="168"/>
      <c r="K61" s="168"/>
      <c r="L61" s="168"/>
      <c r="M61" s="171"/>
      <c r="N61" s="168"/>
      <c r="O61" s="168"/>
      <c r="P61" s="169">
        <f t="shared" si="9"/>
        <v>90909.09</v>
      </c>
      <c r="Q61" s="168"/>
      <c r="R61" s="168"/>
      <c r="S61" s="168"/>
      <c r="T61" s="168"/>
      <c r="U61" s="168"/>
      <c r="V61" s="168"/>
      <c r="W61" s="168"/>
      <c r="X61" s="168"/>
      <c r="Y61" s="168"/>
      <c r="Z61" s="168"/>
      <c r="AA61" s="168"/>
      <c r="AB61" s="170">
        <f t="shared" si="6"/>
        <v>90909.09</v>
      </c>
      <c r="AC61" s="170">
        <f t="shared" si="5"/>
        <v>0</v>
      </c>
      <c r="AD61" s="168" t="s">
        <v>909</v>
      </c>
    </row>
    <row r="62" spans="1:30" s="61" customFormat="1">
      <c r="A62" s="168" t="s">
        <v>222</v>
      </c>
      <c r="B62" s="168" t="s">
        <v>125</v>
      </c>
      <c r="C62" s="168" t="s">
        <v>126</v>
      </c>
      <c r="D62" s="168">
        <v>0</v>
      </c>
      <c r="E62" s="168">
        <v>80000</v>
      </c>
      <c r="F62" s="168">
        <f t="shared" si="3"/>
        <v>80000</v>
      </c>
      <c r="G62" s="168" t="s">
        <v>55</v>
      </c>
      <c r="H62" s="169">
        <f t="shared" si="4"/>
        <v>80000</v>
      </c>
      <c r="I62" s="171"/>
      <c r="J62" s="168"/>
      <c r="K62" s="168"/>
      <c r="L62" s="168"/>
      <c r="M62" s="168"/>
      <c r="N62" s="168"/>
      <c r="O62" s="168"/>
      <c r="P62" s="169">
        <f t="shared" si="9"/>
        <v>80000</v>
      </c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8"/>
      <c r="AB62" s="170">
        <f t="shared" si="6"/>
        <v>80000</v>
      </c>
      <c r="AC62" s="170">
        <f t="shared" si="5"/>
        <v>0</v>
      </c>
      <c r="AD62" s="168" t="s">
        <v>909</v>
      </c>
    </row>
    <row r="63" spans="1:30" s="61" customFormat="1">
      <c r="A63" s="168" t="s">
        <v>222</v>
      </c>
      <c r="B63" s="168" t="s">
        <v>125</v>
      </c>
      <c r="C63" s="168" t="s">
        <v>126</v>
      </c>
      <c r="D63" s="168">
        <v>0</v>
      </c>
      <c r="E63" s="168">
        <v>80000</v>
      </c>
      <c r="F63" s="168">
        <f t="shared" si="3"/>
        <v>80000</v>
      </c>
      <c r="G63" s="168" t="s">
        <v>55</v>
      </c>
      <c r="H63" s="169">
        <f t="shared" si="4"/>
        <v>80000</v>
      </c>
      <c r="I63" s="169"/>
      <c r="J63" s="168"/>
      <c r="K63" s="171"/>
      <c r="L63" s="168"/>
      <c r="M63" s="168"/>
      <c r="N63" s="168"/>
      <c r="O63" s="168"/>
      <c r="P63" s="169">
        <f t="shared" si="9"/>
        <v>80000</v>
      </c>
      <c r="Q63" s="168"/>
      <c r="R63" s="168"/>
      <c r="S63" s="168"/>
      <c r="T63" s="168"/>
      <c r="U63" s="168"/>
      <c r="V63" s="168"/>
      <c r="W63" s="168"/>
      <c r="X63" s="168"/>
      <c r="Y63" s="168"/>
      <c r="Z63" s="168"/>
      <c r="AA63" s="168"/>
      <c r="AB63" s="170">
        <f t="shared" si="6"/>
        <v>80000</v>
      </c>
      <c r="AC63" s="170">
        <f t="shared" si="5"/>
        <v>0</v>
      </c>
      <c r="AD63" s="168" t="s">
        <v>909</v>
      </c>
    </row>
    <row r="64" spans="1:30" s="61" customFormat="1">
      <c r="A64" s="168" t="s">
        <v>223</v>
      </c>
      <c r="B64" s="168" t="s">
        <v>10</v>
      </c>
      <c r="C64" s="168" t="s">
        <v>11</v>
      </c>
      <c r="D64" s="168">
        <v>15636.55</v>
      </c>
      <c r="E64" s="168">
        <v>172002</v>
      </c>
      <c r="F64" s="168">
        <f t="shared" si="3"/>
        <v>156365.45000000001</v>
      </c>
      <c r="G64" s="168" t="s">
        <v>8</v>
      </c>
      <c r="H64" s="169">
        <f t="shared" si="4"/>
        <v>156365.45000000001</v>
      </c>
      <c r="I64" s="169"/>
      <c r="J64" s="168"/>
      <c r="K64" s="168"/>
      <c r="L64" s="168"/>
      <c r="M64" s="168"/>
      <c r="N64" s="168"/>
      <c r="O64" s="168"/>
      <c r="P64" s="169">
        <f t="shared" si="9"/>
        <v>156365.45000000001</v>
      </c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8"/>
      <c r="AB64" s="170">
        <f t="shared" si="6"/>
        <v>156365.45000000001</v>
      </c>
      <c r="AC64" s="170">
        <f t="shared" si="5"/>
        <v>0</v>
      </c>
      <c r="AD64" s="168" t="s">
        <v>909</v>
      </c>
    </row>
    <row r="65" spans="1:30" s="61" customFormat="1">
      <c r="A65" s="168" t="s">
        <v>224</v>
      </c>
      <c r="B65" s="168" t="s">
        <v>225</v>
      </c>
      <c r="C65" s="168" t="s">
        <v>226</v>
      </c>
      <c r="D65" s="168">
        <v>4200</v>
      </c>
      <c r="E65" s="168">
        <v>46200</v>
      </c>
      <c r="F65" s="168">
        <f t="shared" si="3"/>
        <v>42000</v>
      </c>
      <c r="G65" s="168" t="s">
        <v>8</v>
      </c>
      <c r="H65" s="169">
        <f t="shared" si="4"/>
        <v>42000</v>
      </c>
      <c r="I65" s="168"/>
      <c r="J65" s="168"/>
      <c r="K65" s="169"/>
      <c r="L65" s="168"/>
      <c r="M65" s="169">
        <f>+H65</f>
        <v>42000</v>
      </c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  <c r="AA65" s="168"/>
      <c r="AB65" s="170">
        <f t="shared" ref="AB65:AB68" si="10">SUM(I65:AA65)</f>
        <v>42000</v>
      </c>
      <c r="AC65" s="170">
        <f t="shared" ref="AC65:AC68" si="11">+AB65-H65</f>
        <v>0</v>
      </c>
      <c r="AD65" s="168" t="s">
        <v>909</v>
      </c>
    </row>
    <row r="66" spans="1:30" s="61" customFormat="1">
      <c r="A66" s="168" t="s">
        <v>224</v>
      </c>
      <c r="B66" s="168" t="s">
        <v>227</v>
      </c>
      <c r="C66" s="168" t="s">
        <v>228</v>
      </c>
      <c r="D66" s="168">
        <v>14543.75</v>
      </c>
      <c r="E66" s="168">
        <v>162890</v>
      </c>
      <c r="F66" s="168">
        <f t="shared" si="3"/>
        <v>148346.25</v>
      </c>
      <c r="G66" s="168" t="s">
        <v>8</v>
      </c>
      <c r="H66" s="169">
        <f t="shared" si="4"/>
        <v>148346.25</v>
      </c>
      <c r="I66" s="169">
        <f>+H66</f>
        <v>148346.25</v>
      </c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  <c r="AB66" s="170">
        <f t="shared" si="10"/>
        <v>148346.25</v>
      </c>
      <c r="AC66" s="170">
        <f t="shared" si="11"/>
        <v>0</v>
      </c>
      <c r="AD66" s="168" t="s">
        <v>909</v>
      </c>
    </row>
    <row r="67" spans="1:30" s="61" customFormat="1">
      <c r="A67" s="168" t="s">
        <v>224</v>
      </c>
      <c r="B67" s="168" t="s">
        <v>116</v>
      </c>
      <c r="C67" s="168" t="s">
        <v>117</v>
      </c>
      <c r="D67" s="168">
        <v>0</v>
      </c>
      <c r="E67" s="168">
        <v>49500</v>
      </c>
      <c r="F67" s="168">
        <f t="shared" si="3"/>
        <v>49500</v>
      </c>
      <c r="G67" s="168" t="s">
        <v>55</v>
      </c>
      <c r="H67" s="169">
        <f t="shared" si="4"/>
        <v>49500</v>
      </c>
      <c r="I67" s="168"/>
      <c r="J67" s="168"/>
      <c r="K67" s="168"/>
      <c r="L67" s="168"/>
      <c r="M67" s="169">
        <f>+H67</f>
        <v>49500</v>
      </c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70">
        <f t="shared" si="10"/>
        <v>49500</v>
      </c>
      <c r="AC67" s="170">
        <f t="shared" si="11"/>
        <v>0</v>
      </c>
      <c r="AD67" s="168" t="s">
        <v>909</v>
      </c>
    </row>
    <row r="68" spans="1:30" s="61" customFormat="1">
      <c r="A68" s="168"/>
      <c r="B68" s="168"/>
      <c r="C68" s="168"/>
      <c r="D68" s="168"/>
      <c r="E68" s="168"/>
      <c r="F68" s="172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  <c r="AA68" s="168"/>
      <c r="AB68" s="170">
        <f t="shared" si="10"/>
        <v>0</v>
      </c>
      <c r="AC68" s="170">
        <f t="shared" si="11"/>
        <v>0</v>
      </c>
      <c r="AD68" s="168" t="s">
        <v>909</v>
      </c>
    </row>
    <row r="69" spans="1:30" s="61" customFormat="1">
      <c r="F69" s="67"/>
    </row>
  </sheetData>
  <autoFilter ref="A3:AC6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145"/>
  <sheetViews>
    <sheetView zoomScale="85" zoomScaleNormal="85" workbookViewId="0">
      <pane ySplit="5" topLeftCell="A6" activePane="bottomLeft" state="frozen"/>
      <selection pane="bottomLeft" activeCell="H6" sqref="H6"/>
    </sheetView>
  </sheetViews>
  <sheetFormatPr defaultColWidth="9" defaultRowHeight="11.5"/>
  <cols>
    <col min="1" max="1" width="10.08203125" style="60" bestFit="1" customWidth="1"/>
    <col min="2" max="2" width="28.08203125" style="60" bestFit="1" customWidth="1"/>
    <col min="3" max="3" width="8.25" style="60" customWidth="1"/>
    <col min="4" max="5" width="10.83203125" style="60" customWidth="1"/>
    <col min="6" max="6" width="14.33203125" style="69" bestFit="1" customWidth="1"/>
    <col min="7" max="8" width="10.83203125" style="60" customWidth="1"/>
    <col min="9" max="9" width="14.58203125" style="60" customWidth="1"/>
    <col min="10" max="10" width="13.25" style="60" customWidth="1"/>
    <col min="11" max="11" width="17.33203125" style="60" customWidth="1"/>
    <col min="12" max="12" width="12.08203125" style="60" customWidth="1"/>
    <col min="13" max="13" width="14.83203125" style="60" customWidth="1"/>
    <col min="14" max="14" width="14" style="60" customWidth="1"/>
    <col min="15" max="15" width="13.5" style="60" customWidth="1"/>
    <col min="16" max="16" width="12.33203125" style="60" customWidth="1"/>
    <col min="17" max="17" width="18.08203125" style="60" customWidth="1"/>
    <col min="18" max="18" width="13.5" style="60" customWidth="1"/>
    <col min="19" max="19" width="21.25" style="60" customWidth="1"/>
    <col min="20" max="20" width="14.83203125" style="60" customWidth="1"/>
    <col min="21" max="21" width="14.25" style="60" customWidth="1"/>
    <col min="22" max="22" width="16.75" style="60" customWidth="1"/>
    <col min="23" max="23" width="21.5" style="60" customWidth="1"/>
    <col min="24" max="24" width="18.75" style="60" customWidth="1"/>
    <col min="25" max="25" width="14.25" style="60" customWidth="1"/>
    <col min="26" max="26" width="14" style="60" customWidth="1"/>
    <col min="27" max="27" width="12.33203125" style="60" customWidth="1"/>
    <col min="28" max="28" width="17.58203125" style="60" customWidth="1"/>
    <col min="29" max="29" width="19.5" style="60" bestFit="1" customWidth="1"/>
    <col min="30" max="30" width="8.58203125" style="60" bestFit="1" customWidth="1"/>
    <col min="31" max="16384" width="9" style="60"/>
  </cols>
  <sheetData>
    <row r="1" spans="1:30">
      <c r="F1" s="60"/>
      <c r="G1" s="152" t="s">
        <v>345</v>
      </c>
      <c r="I1" s="60" t="s">
        <v>2</v>
      </c>
      <c r="J1" s="154">
        <v>40161420</v>
      </c>
      <c r="K1" s="154">
        <f>+J2+J1</f>
        <v>72402856</v>
      </c>
    </row>
    <row r="2" spans="1:30">
      <c r="D2" s="76" t="s">
        <v>346</v>
      </c>
      <c r="E2" s="77" t="s">
        <v>343</v>
      </c>
      <c r="F2" s="76" t="s">
        <v>344</v>
      </c>
      <c r="J2" s="154">
        <v>32241436</v>
      </c>
    </row>
    <row r="3" spans="1:30" s="59" customFormat="1" ht="23">
      <c r="A3" s="2" t="s">
        <v>15</v>
      </c>
      <c r="B3" s="1" t="s">
        <v>0</v>
      </c>
      <c r="C3" s="1" t="s">
        <v>1</v>
      </c>
      <c r="D3" s="3" t="s">
        <v>2</v>
      </c>
      <c r="E3" s="3" t="s">
        <v>3</v>
      </c>
      <c r="F3" s="4" t="s">
        <v>4</v>
      </c>
      <c r="G3" s="1" t="s">
        <v>16</v>
      </c>
      <c r="H3" s="1" t="s">
        <v>37</v>
      </c>
      <c r="I3" s="2" t="s">
        <v>17</v>
      </c>
      <c r="J3" s="2" t="s">
        <v>62</v>
      </c>
      <c r="K3" s="2" t="s">
        <v>18</v>
      </c>
      <c r="L3" s="4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1" t="s">
        <v>24</v>
      </c>
      <c r="R3" s="1" t="s">
        <v>25</v>
      </c>
      <c r="S3" s="1" t="s">
        <v>26</v>
      </c>
      <c r="T3" s="1" t="s">
        <v>27</v>
      </c>
      <c r="U3" s="1" t="s">
        <v>28</v>
      </c>
      <c r="V3" s="1" t="s">
        <v>29</v>
      </c>
      <c r="W3" s="1" t="s">
        <v>30</v>
      </c>
      <c r="X3" s="1" t="s">
        <v>31</v>
      </c>
      <c r="Y3" s="1" t="s">
        <v>32</v>
      </c>
      <c r="Z3" s="1" t="s">
        <v>33</v>
      </c>
      <c r="AA3" s="1" t="s">
        <v>34</v>
      </c>
      <c r="AB3" s="1" t="s">
        <v>35</v>
      </c>
      <c r="AC3" s="1" t="s">
        <v>36</v>
      </c>
      <c r="AD3" s="1" t="s">
        <v>743</v>
      </c>
    </row>
    <row r="4" spans="1:30">
      <c r="A4" s="135"/>
      <c r="B4" s="135"/>
      <c r="C4" s="136"/>
      <c r="D4" s="6">
        <f>SUM(D6:D145)</f>
        <v>2110895.6892210003</v>
      </c>
      <c r="E4" s="6">
        <f>SUM(E6:E145)</f>
        <v>40191422.43</v>
      </c>
      <c r="F4" s="137">
        <f>SUM(F6:F145)</f>
        <v>38080555.740779005</v>
      </c>
      <c r="G4" s="6"/>
      <c r="H4" s="6">
        <f>SUM(H6:H436)</f>
        <v>72430129.159999996</v>
      </c>
      <c r="I4" s="6">
        <f t="shared" ref="I4:AA4" si="0">SUM(I6:I436)</f>
        <v>10629018</v>
      </c>
      <c r="J4" s="6">
        <f t="shared" si="0"/>
        <v>20042925.43</v>
      </c>
      <c r="K4" s="6">
        <f t="shared" si="0"/>
        <v>3561661</v>
      </c>
      <c r="L4" s="6">
        <f t="shared" si="0"/>
        <v>392000</v>
      </c>
      <c r="M4" s="6">
        <f t="shared" si="0"/>
        <v>6844350</v>
      </c>
      <c r="N4" s="6">
        <f t="shared" si="0"/>
        <v>10373800</v>
      </c>
      <c r="O4" s="6">
        <f t="shared" si="0"/>
        <v>11354900</v>
      </c>
      <c r="P4" s="6">
        <f t="shared" si="0"/>
        <v>5516474.7300000004</v>
      </c>
      <c r="Q4" s="6">
        <f t="shared" si="0"/>
        <v>3115000</v>
      </c>
      <c r="R4" s="6">
        <f t="shared" si="0"/>
        <v>0</v>
      </c>
      <c r="S4" s="6">
        <f t="shared" si="0"/>
        <v>0</v>
      </c>
      <c r="T4" s="6">
        <f t="shared" si="0"/>
        <v>0</v>
      </c>
      <c r="U4" s="6">
        <f t="shared" si="0"/>
        <v>0</v>
      </c>
      <c r="V4" s="6">
        <f t="shared" si="0"/>
        <v>0</v>
      </c>
      <c r="W4" s="6">
        <f t="shared" si="0"/>
        <v>0</v>
      </c>
      <c r="X4" s="6">
        <f t="shared" si="0"/>
        <v>600000</v>
      </c>
      <c r="Y4" s="6">
        <f t="shared" si="0"/>
        <v>0</v>
      </c>
      <c r="Z4" s="6">
        <f t="shared" si="0"/>
        <v>0</v>
      </c>
      <c r="AA4" s="6">
        <f t="shared" si="0"/>
        <v>0</v>
      </c>
      <c r="AB4" s="6">
        <f>SUM(I4:AA4)</f>
        <v>72430129.159999996</v>
      </c>
      <c r="AC4" s="6">
        <f>SUM(AC6:AC145)</f>
        <v>0</v>
      </c>
    </row>
    <row r="5" spans="1:30">
      <c r="A5" s="138"/>
      <c r="B5" s="138"/>
      <c r="C5" s="139"/>
      <c r="D5" s="8"/>
      <c r="E5" s="8"/>
      <c r="F5" s="140">
        <v>1</v>
      </c>
      <c r="G5" s="9"/>
      <c r="H5" s="10"/>
      <c r="I5" s="9">
        <f>+I4/$H$4</f>
        <v>0.14674857166856942</v>
      </c>
      <c r="J5" s="13"/>
      <c r="K5" s="9">
        <f t="shared" ref="K5:AC5" si="1">+K4/$H$4</f>
        <v>4.9173749119405828E-2</v>
      </c>
      <c r="L5" s="9">
        <f t="shared" si="1"/>
        <v>5.4121123977849336E-3</v>
      </c>
      <c r="M5" s="9">
        <f t="shared" si="1"/>
        <v>9.4495896657600276E-2</v>
      </c>
      <c r="N5" s="9">
        <f t="shared" si="1"/>
        <v>0.14322492753097282</v>
      </c>
      <c r="O5" s="9">
        <f t="shared" si="1"/>
        <v>0.15677039557553096</v>
      </c>
      <c r="P5" s="9">
        <f t="shared" si="1"/>
        <v>7.616270734260279E-2</v>
      </c>
      <c r="Q5" s="9">
        <f t="shared" si="1"/>
        <v>4.3006964589540987E-2</v>
      </c>
      <c r="R5" s="9">
        <f t="shared" si="1"/>
        <v>0</v>
      </c>
      <c r="S5" s="9">
        <f t="shared" si="1"/>
        <v>0</v>
      </c>
      <c r="T5" s="9">
        <f t="shared" si="1"/>
        <v>0</v>
      </c>
      <c r="U5" s="9">
        <f t="shared" si="1"/>
        <v>0</v>
      </c>
      <c r="V5" s="9">
        <f t="shared" si="1"/>
        <v>0</v>
      </c>
      <c r="W5" s="9">
        <f t="shared" si="1"/>
        <v>0</v>
      </c>
      <c r="X5" s="9">
        <f t="shared" si="1"/>
        <v>8.2838455068136741E-3</v>
      </c>
      <c r="Y5" s="9">
        <f t="shared" si="1"/>
        <v>0</v>
      </c>
      <c r="Z5" s="9">
        <f t="shared" si="1"/>
        <v>0</v>
      </c>
      <c r="AA5" s="9">
        <f t="shared" si="1"/>
        <v>0</v>
      </c>
      <c r="AB5" s="9">
        <f t="shared" si="1"/>
        <v>1</v>
      </c>
      <c r="AC5" s="13">
        <f t="shared" si="1"/>
        <v>0</v>
      </c>
    </row>
    <row r="6" spans="1:30" ht="12" customHeight="1">
      <c r="A6" s="160" t="s">
        <v>342</v>
      </c>
      <c r="B6" s="141" t="s">
        <v>68</v>
      </c>
      <c r="C6" s="141" t="s">
        <v>69</v>
      </c>
      <c r="D6" s="141">
        <v>0</v>
      </c>
      <c r="E6" s="141">
        <v>2000</v>
      </c>
      <c r="F6" s="141">
        <v>2000</v>
      </c>
      <c r="G6" s="141" t="s">
        <v>55</v>
      </c>
      <c r="H6" s="145">
        <f>+E6</f>
        <v>2000</v>
      </c>
      <c r="I6" s="70">
        <v>2000</v>
      </c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6">
        <f t="shared" ref="AB6:AB37" si="2">SUM(I6:AA6)</f>
        <v>2000</v>
      </c>
      <c r="AC6" s="6">
        <f t="shared" ref="AC6:AC37" si="3">+AB6-H6</f>
        <v>0</v>
      </c>
      <c r="AD6" s="141" t="s">
        <v>743</v>
      </c>
    </row>
    <row r="7" spans="1:30" ht="12" customHeight="1">
      <c r="A7" s="141" t="s">
        <v>342</v>
      </c>
      <c r="B7" s="141" t="s">
        <v>156</v>
      </c>
      <c r="C7" s="141" t="s">
        <v>157</v>
      </c>
      <c r="D7" s="141">
        <v>2727.27</v>
      </c>
      <c r="E7" s="141">
        <v>30000</v>
      </c>
      <c r="F7" s="141">
        <v>27272.73</v>
      </c>
      <c r="G7" s="141" t="s">
        <v>8</v>
      </c>
      <c r="H7" s="145">
        <f t="shared" ref="H7:H13" si="4">+E7</f>
        <v>30000</v>
      </c>
      <c r="I7" s="70"/>
      <c r="J7" s="141"/>
      <c r="K7" s="141"/>
      <c r="L7" s="141"/>
      <c r="M7" s="141"/>
      <c r="N7" s="141"/>
      <c r="O7" s="141"/>
      <c r="P7" s="142">
        <f>+H7</f>
        <v>30000</v>
      </c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6">
        <f t="shared" si="2"/>
        <v>30000</v>
      </c>
      <c r="AC7" s="6">
        <f t="shared" si="3"/>
        <v>0</v>
      </c>
      <c r="AD7" s="141" t="s">
        <v>743</v>
      </c>
    </row>
    <row r="8" spans="1:30" ht="12" customHeight="1">
      <c r="A8" s="141" t="s">
        <v>342</v>
      </c>
      <c r="B8" s="141" t="s">
        <v>156</v>
      </c>
      <c r="C8" s="141" t="s">
        <v>157</v>
      </c>
      <c r="D8" s="141">
        <v>2727.27</v>
      </c>
      <c r="E8" s="141">
        <v>30000</v>
      </c>
      <c r="F8" s="141">
        <v>27272.73</v>
      </c>
      <c r="G8" s="141" t="s">
        <v>8</v>
      </c>
      <c r="H8" s="145">
        <f t="shared" si="4"/>
        <v>30000</v>
      </c>
      <c r="I8" s="70"/>
      <c r="J8" s="141"/>
      <c r="K8" s="141"/>
      <c r="L8" s="141"/>
      <c r="M8" s="141"/>
      <c r="N8" s="141"/>
      <c r="O8" s="141"/>
      <c r="P8" s="142">
        <f>+H8</f>
        <v>30000</v>
      </c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6">
        <f t="shared" si="2"/>
        <v>30000</v>
      </c>
      <c r="AC8" s="6">
        <f t="shared" si="3"/>
        <v>0</v>
      </c>
      <c r="AD8" s="141" t="s">
        <v>743</v>
      </c>
    </row>
    <row r="9" spans="1:30" ht="12" customHeight="1">
      <c r="A9" s="141" t="s">
        <v>342</v>
      </c>
      <c r="B9" s="141" t="s">
        <v>276</v>
      </c>
      <c r="C9" s="141" t="s">
        <v>277</v>
      </c>
      <c r="D9" s="141">
        <v>2727.27</v>
      </c>
      <c r="E9" s="141">
        <v>30000</v>
      </c>
      <c r="F9" s="141">
        <v>27272.73</v>
      </c>
      <c r="G9" s="141" t="s">
        <v>8</v>
      </c>
      <c r="H9" s="145">
        <f t="shared" si="4"/>
        <v>30000</v>
      </c>
      <c r="I9" s="141"/>
      <c r="J9" s="141"/>
      <c r="K9" s="141"/>
      <c r="L9" s="141"/>
      <c r="M9" s="141"/>
      <c r="N9" s="141"/>
      <c r="O9" s="142">
        <f>+H9</f>
        <v>30000</v>
      </c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6">
        <f t="shared" si="2"/>
        <v>30000</v>
      </c>
      <c r="AC9" s="6">
        <f t="shared" si="3"/>
        <v>0</v>
      </c>
      <c r="AD9" s="141" t="s">
        <v>743</v>
      </c>
    </row>
    <row r="10" spans="1:30" ht="12" customHeight="1">
      <c r="A10" s="141" t="s">
        <v>342</v>
      </c>
      <c r="B10" s="141" t="s">
        <v>10</v>
      </c>
      <c r="C10" s="141" t="s">
        <v>11</v>
      </c>
      <c r="D10" s="141">
        <v>7386.73</v>
      </c>
      <c r="E10" s="141">
        <v>81254</v>
      </c>
      <c r="F10" s="141">
        <v>73867.27</v>
      </c>
      <c r="G10" s="141" t="s">
        <v>8</v>
      </c>
      <c r="H10" s="145">
        <f t="shared" si="4"/>
        <v>81254</v>
      </c>
      <c r="I10" s="70"/>
      <c r="J10" s="141"/>
      <c r="K10" s="141"/>
      <c r="L10" s="141"/>
      <c r="M10" s="141"/>
      <c r="N10" s="141"/>
      <c r="O10" s="141"/>
      <c r="P10" s="142">
        <f>+H10</f>
        <v>81254</v>
      </c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6">
        <f t="shared" si="2"/>
        <v>81254</v>
      </c>
      <c r="AC10" s="6">
        <f t="shared" si="3"/>
        <v>0</v>
      </c>
      <c r="AD10" s="141" t="s">
        <v>743</v>
      </c>
    </row>
    <row r="11" spans="1:30" ht="12" customHeight="1">
      <c r="A11" s="141" t="s">
        <v>342</v>
      </c>
      <c r="B11" s="141" t="s">
        <v>308</v>
      </c>
      <c r="C11" s="141" t="s">
        <v>309</v>
      </c>
      <c r="D11" s="141">
        <v>35062.5</v>
      </c>
      <c r="E11" s="141">
        <v>392700</v>
      </c>
      <c r="F11" s="141">
        <v>357637.5</v>
      </c>
      <c r="G11" s="141" t="s">
        <v>8</v>
      </c>
      <c r="H11" s="145">
        <f t="shared" si="4"/>
        <v>392700</v>
      </c>
      <c r="I11" s="142">
        <f>+H11</f>
        <v>392700</v>
      </c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6">
        <f t="shared" si="2"/>
        <v>392700</v>
      </c>
      <c r="AC11" s="6">
        <f t="shared" si="3"/>
        <v>0</v>
      </c>
      <c r="AD11" s="141" t="s">
        <v>743</v>
      </c>
    </row>
    <row r="12" spans="1:30" ht="12" customHeight="1">
      <c r="A12" s="141" t="s">
        <v>339</v>
      </c>
      <c r="B12" s="141" t="s">
        <v>156</v>
      </c>
      <c r="C12" s="141" t="s">
        <v>157</v>
      </c>
      <c r="D12" s="141">
        <v>4545.45</v>
      </c>
      <c r="E12" s="141">
        <v>50000</v>
      </c>
      <c r="F12" s="141">
        <v>45454.55</v>
      </c>
      <c r="G12" s="141" t="s">
        <v>8</v>
      </c>
      <c r="H12" s="145">
        <f t="shared" si="4"/>
        <v>50000</v>
      </c>
      <c r="I12" s="70"/>
      <c r="J12" s="141"/>
      <c r="K12" s="141"/>
      <c r="L12" s="141"/>
      <c r="M12" s="141"/>
      <c r="N12" s="141"/>
      <c r="O12" s="141"/>
      <c r="P12" s="142">
        <f>+H12</f>
        <v>50000</v>
      </c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6">
        <f t="shared" si="2"/>
        <v>50000</v>
      </c>
      <c r="AC12" s="6">
        <f t="shared" si="3"/>
        <v>0</v>
      </c>
      <c r="AD12" s="141" t="s">
        <v>743</v>
      </c>
    </row>
    <row r="13" spans="1:30" ht="12" customHeight="1">
      <c r="A13" s="141" t="s">
        <v>339</v>
      </c>
      <c r="B13" s="141" t="s">
        <v>340</v>
      </c>
      <c r="C13" s="141" t="s">
        <v>341</v>
      </c>
      <c r="D13" s="141">
        <v>24490.91</v>
      </c>
      <c r="E13" s="141">
        <v>269400</v>
      </c>
      <c r="F13" s="141">
        <v>244909.09</v>
      </c>
      <c r="G13" s="141" t="s">
        <v>8</v>
      </c>
      <c r="H13" s="145">
        <f t="shared" si="4"/>
        <v>269400</v>
      </c>
      <c r="I13" s="141"/>
      <c r="J13" s="141"/>
      <c r="K13" s="141"/>
      <c r="L13" s="141"/>
      <c r="M13" s="142">
        <f>+H13</f>
        <v>269400</v>
      </c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6">
        <f t="shared" si="2"/>
        <v>269400</v>
      </c>
      <c r="AC13" s="6">
        <f t="shared" si="3"/>
        <v>0</v>
      </c>
      <c r="AD13" s="141" t="s">
        <v>743</v>
      </c>
    </row>
    <row r="14" spans="1:30" ht="12" customHeight="1">
      <c r="A14" s="141" t="s">
        <v>338</v>
      </c>
      <c r="B14" s="141" t="s">
        <v>94</v>
      </c>
      <c r="C14" s="141" t="s">
        <v>95</v>
      </c>
      <c r="D14" s="141">
        <v>2727.27</v>
      </c>
      <c r="E14" s="141">
        <v>30000</v>
      </c>
      <c r="F14" s="141">
        <v>27272.73</v>
      </c>
      <c r="G14" s="141" t="s">
        <v>8</v>
      </c>
      <c r="H14" s="145">
        <f>+E14-D14</f>
        <v>27272.73</v>
      </c>
      <c r="I14" s="70"/>
      <c r="J14" s="141"/>
      <c r="K14" s="141"/>
      <c r="L14" s="141"/>
      <c r="M14" s="141"/>
      <c r="N14" s="141"/>
      <c r="O14" s="141"/>
      <c r="P14" s="142">
        <f>+H14</f>
        <v>27272.73</v>
      </c>
      <c r="Q14" s="141"/>
      <c r="R14" s="143"/>
      <c r="S14" s="141"/>
      <c r="T14" s="144"/>
      <c r="U14" s="143"/>
      <c r="V14" s="143"/>
      <c r="W14" s="143"/>
      <c r="X14" s="143"/>
      <c r="Y14" s="143"/>
      <c r="Z14" s="143"/>
      <c r="AA14" s="141"/>
      <c r="AB14" s="6">
        <f t="shared" si="2"/>
        <v>27272.73</v>
      </c>
      <c r="AC14" s="6">
        <f t="shared" si="3"/>
        <v>0</v>
      </c>
      <c r="AD14" s="141"/>
    </row>
    <row r="15" spans="1:30" ht="12" customHeight="1">
      <c r="A15" s="141" t="s">
        <v>338</v>
      </c>
      <c r="B15" s="141" t="s">
        <v>335</v>
      </c>
      <c r="C15" s="141" t="s">
        <v>336</v>
      </c>
      <c r="D15" s="141">
        <v>0</v>
      </c>
      <c r="E15" s="141">
        <v>47000</v>
      </c>
      <c r="F15" s="141">
        <v>47000</v>
      </c>
      <c r="G15" s="141" t="s">
        <v>8</v>
      </c>
      <c r="H15" s="145">
        <f t="shared" ref="H15:H31" si="5">+E15</f>
        <v>47000</v>
      </c>
      <c r="I15" s="141"/>
      <c r="J15" s="141"/>
      <c r="K15" s="141"/>
      <c r="L15" s="141"/>
      <c r="M15" s="142">
        <f>+H15</f>
        <v>47000</v>
      </c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6">
        <f t="shared" si="2"/>
        <v>47000</v>
      </c>
      <c r="AC15" s="6">
        <f t="shared" si="3"/>
        <v>0</v>
      </c>
      <c r="AD15" s="141" t="s">
        <v>743</v>
      </c>
    </row>
    <row r="16" spans="1:30" ht="12" customHeight="1">
      <c r="A16" s="141" t="s">
        <v>338</v>
      </c>
      <c r="B16" s="141" t="s">
        <v>97</v>
      </c>
      <c r="C16" s="141" t="s">
        <v>98</v>
      </c>
      <c r="D16" s="141">
        <v>6363.64</v>
      </c>
      <c r="E16" s="141">
        <v>70000</v>
      </c>
      <c r="F16" s="141">
        <v>63636.36</v>
      </c>
      <c r="G16" s="141" t="s">
        <v>8</v>
      </c>
      <c r="H16" s="145">
        <f t="shared" si="5"/>
        <v>70000</v>
      </c>
      <c r="I16" s="141"/>
      <c r="J16" s="141"/>
      <c r="K16" s="141"/>
      <c r="L16" s="141"/>
      <c r="M16" s="141"/>
      <c r="N16" s="141"/>
      <c r="O16" s="142">
        <f>+H16</f>
        <v>70000</v>
      </c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6">
        <f t="shared" si="2"/>
        <v>70000</v>
      </c>
      <c r="AC16" s="6">
        <f t="shared" si="3"/>
        <v>0</v>
      </c>
      <c r="AD16" s="141" t="s">
        <v>743</v>
      </c>
    </row>
    <row r="17" spans="1:30" ht="12" customHeight="1">
      <c r="A17" s="141" t="s">
        <v>338</v>
      </c>
      <c r="B17" s="141" t="s">
        <v>249</v>
      </c>
      <c r="C17" s="141" t="s">
        <v>250</v>
      </c>
      <c r="D17" s="141">
        <v>6500</v>
      </c>
      <c r="E17" s="141">
        <v>71500</v>
      </c>
      <c r="F17" s="141">
        <v>65000</v>
      </c>
      <c r="G17" s="141" t="s">
        <v>8</v>
      </c>
      <c r="H17" s="145">
        <f t="shared" si="5"/>
        <v>71500</v>
      </c>
      <c r="I17" s="141"/>
      <c r="J17" s="141"/>
      <c r="K17" s="141"/>
      <c r="L17" s="141"/>
      <c r="M17" s="141"/>
      <c r="N17" s="141"/>
      <c r="O17" s="70">
        <f>+H17</f>
        <v>71500</v>
      </c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6">
        <f t="shared" si="2"/>
        <v>71500</v>
      </c>
      <c r="AC17" s="6">
        <f t="shared" si="3"/>
        <v>0</v>
      </c>
      <c r="AD17" s="141" t="s">
        <v>743</v>
      </c>
    </row>
    <row r="18" spans="1:30" ht="12" customHeight="1">
      <c r="A18" s="141" t="s">
        <v>338</v>
      </c>
      <c r="B18" s="141" t="s">
        <v>103</v>
      </c>
      <c r="C18" s="141" t="s">
        <v>104</v>
      </c>
      <c r="D18" s="141">
        <v>7347.24</v>
      </c>
      <c r="E18" s="141">
        <v>80900</v>
      </c>
      <c r="F18" s="141">
        <v>73552.759999999995</v>
      </c>
      <c r="G18" s="141" t="s">
        <v>8</v>
      </c>
      <c r="H18" s="145">
        <f t="shared" si="5"/>
        <v>80900</v>
      </c>
      <c r="I18" s="141"/>
      <c r="J18" s="141"/>
      <c r="K18" s="142">
        <f>+H18</f>
        <v>80900</v>
      </c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6">
        <f t="shared" si="2"/>
        <v>80900</v>
      </c>
      <c r="AC18" s="6">
        <f t="shared" si="3"/>
        <v>0</v>
      </c>
      <c r="AD18" s="141" t="s">
        <v>743</v>
      </c>
    </row>
    <row r="19" spans="1:30" ht="12" customHeight="1">
      <c r="A19" s="141" t="s">
        <v>338</v>
      </c>
      <c r="B19" s="141" t="s">
        <v>89</v>
      </c>
      <c r="C19" s="141" t="s">
        <v>90</v>
      </c>
      <c r="D19" s="141">
        <v>11232.142857000001</v>
      </c>
      <c r="E19" s="141">
        <v>125800</v>
      </c>
      <c r="F19" s="141">
        <v>114567.857143</v>
      </c>
      <c r="G19" s="141" t="s">
        <v>8</v>
      </c>
      <c r="H19" s="145">
        <f t="shared" si="5"/>
        <v>125800</v>
      </c>
      <c r="I19" s="70">
        <f>+H19</f>
        <v>125800</v>
      </c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6">
        <f t="shared" si="2"/>
        <v>125800</v>
      </c>
      <c r="AC19" s="6">
        <f t="shared" si="3"/>
        <v>0</v>
      </c>
      <c r="AD19" s="141" t="s">
        <v>743</v>
      </c>
    </row>
    <row r="20" spans="1:30" ht="12" customHeight="1">
      <c r="A20" s="141" t="s">
        <v>338</v>
      </c>
      <c r="B20" s="141" t="s">
        <v>140</v>
      </c>
      <c r="C20" s="141" t="s">
        <v>141</v>
      </c>
      <c r="D20" s="141">
        <v>0</v>
      </c>
      <c r="E20" s="141">
        <v>475000</v>
      </c>
      <c r="F20" s="141">
        <v>475000</v>
      </c>
      <c r="G20" s="141" t="s">
        <v>55</v>
      </c>
      <c r="H20" s="145">
        <f t="shared" si="5"/>
        <v>475000</v>
      </c>
      <c r="I20" s="141"/>
      <c r="J20" s="141"/>
      <c r="K20" s="141"/>
      <c r="L20" s="141"/>
      <c r="M20" s="141"/>
      <c r="N20" s="141"/>
      <c r="O20" s="141"/>
      <c r="P20" s="142">
        <f>+H20</f>
        <v>475000</v>
      </c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6">
        <f t="shared" si="2"/>
        <v>475000</v>
      </c>
      <c r="AC20" s="6">
        <f t="shared" si="3"/>
        <v>0</v>
      </c>
      <c r="AD20" s="141" t="s">
        <v>743</v>
      </c>
    </row>
    <row r="21" spans="1:30" ht="12" customHeight="1">
      <c r="A21" s="141" t="s">
        <v>337</v>
      </c>
      <c r="B21" s="141" t="s">
        <v>103</v>
      </c>
      <c r="C21" s="141" t="s">
        <v>104</v>
      </c>
      <c r="D21" s="141">
        <v>1263.6400000000001</v>
      </c>
      <c r="E21" s="141">
        <v>13900</v>
      </c>
      <c r="F21" s="141">
        <v>12636.36</v>
      </c>
      <c r="G21" s="141" t="s">
        <v>8</v>
      </c>
      <c r="H21" s="145">
        <f t="shared" si="5"/>
        <v>13900</v>
      </c>
      <c r="I21" s="141"/>
      <c r="J21" s="141"/>
      <c r="K21" s="142">
        <f>+H21</f>
        <v>13900</v>
      </c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6">
        <f t="shared" si="2"/>
        <v>13900</v>
      </c>
      <c r="AC21" s="6">
        <f t="shared" si="3"/>
        <v>0</v>
      </c>
      <c r="AD21" s="141" t="s">
        <v>743</v>
      </c>
    </row>
    <row r="22" spans="1:30" ht="12" customHeight="1">
      <c r="A22" s="141" t="s">
        <v>326</v>
      </c>
      <c r="B22" s="141" t="s">
        <v>327</v>
      </c>
      <c r="C22" s="141" t="s">
        <v>328</v>
      </c>
      <c r="D22" s="141">
        <v>537.09</v>
      </c>
      <c r="E22" s="141">
        <v>5908</v>
      </c>
      <c r="F22" s="141">
        <v>5370.91</v>
      </c>
      <c r="G22" s="141" t="s">
        <v>8</v>
      </c>
      <c r="H22" s="145">
        <f t="shared" si="5"/>
        <v>5908</v>
      </c>
      <c r="I22" s="142">
        <f>+H22</f>
        <v>5908</v>
      </c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6">
        <f t="shared" si="2"/>
        <v>5908</v>
      </c>
      <c r="AC22" s="6">
        <f t="shared" si="3"/>
        <v>0</v>
      </c>
      <c r="AD22" s="141" t="s">
        <v>743</v>
      </c>
    </row>
    <row r="23" spans="1:30" ht="12" customHeight="1">
      <c r="A23" s="141" t="s">
        <v>326</v>
      </c>
      <c r="B23" s="141" t="s">
        <v>333</v>
      </c>
      <c r="C23" s="141" t="s">
        <v>334</v>
      </c>
      <c r="D23" s="141">
        <v>0</v>
      </c>
      <c r="E23" s="141">
        <v>19500</v>
      </c>
      <c r="F23" s="141">
        <v>19500</v>
      </c>
      <c r="G23" s="141" t="s">
        <v>8</v>
      </c>
      <c r="H23" s="145">
        <f t="shared" si="5"/>
        <v>19500</v>
      </c>
      <c r="I23" s="142">
        <f>+H23</f>
        <v>19500</v>
      </c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6">
        <f t="shared" si="2"/>
        <v>19500</v>
      </c>
      <c r="AC23" s="6">
        <f t="shared" si="3"/>
        <v>0</v>
      </c>
      <c r="AD23" s="141" t="s">
        <v>743</v>
      </c>
    </row>
    <row r="24" spans="1:30" ht="12" customHeight="1">
      <c r="A24" s="141" t="s">
        <v>326</v>
      </c>
      <c r="B24" s="141" t="s">
        <v>335</v>
      </c>
      <c r="C24" s="141" t="s">
        <v>336</v>
      </c>
      <c r="D24" s="141">
        <v>0</v>
      </c>
      <c r="E24" s="141">
        <v>38000</v>
      </c>
      <c r="F24" s="141">
        <v>38000</v>
      </c>
      <c r="G24" s="141" t="s">
        <v>8</v>
      </c>
      <c r="H24" s="145">
        <f t="shared" si="5"/>
        <v>38000</v>
      </c>
      <c r="I24" s="141"/>
      <c r="J24" s="141"/>
      <c r="K24" s="141"/>
      <c r="L24" s="141"/>
      <c r="M24" s="142">
        <f>+H24</f>
        <v>38000</v>
      </c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6">
        <f t="shared" si="2"/>
        <v>38000</v>
      </c>
      <c r="AC24" s="6">
        <f t="shared" si="3"/>
        <v>0</v>
      </c>
      <c r="AD24" s="141" t="s">
        <v>743</v>
      </c>
    </row>
    <row r="25" spans="1:30" ht="12" customHeight="1">
      <c r="A25" s="141" t="s">
        <v>326</v>
      </c>
      <c r="B25" s="141" t="s">
        <v>331</v>
      </c>
      <c r="C25" s="141" t="s">
        <v>332</v>
      </c>
      <c r="D25" s="141">
        <v>3746.82</v>
      </c>
      <c r="E25" s="141">
        <v>41215</v>
      </c>
      <c r="F25" s="141">
        <v>37468.18</v>
      </c>
      <c r="G25" s="141" t="s">
        <v>8</v>
      </c>
      <c r="H25" s="145">
        <f t="shared" si="5"/>
        <v>41215</v>
      </c>
      <c r="I25" s="142">
        <f>+H25</f>
        <v>41215</v>
      </c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6">
        <f t="shared" si="2"/>
        <v>41215</v>
      </c>
      <c r="AC25" s="6">
        <f t="shared" si="3"/>
        <v>0</v>
      </c>
      <c r="AD25" s="141" t="s">
        <v>743</v>
      </c>
    </row>
    <row r="26" spans="1:30" ht="12" customHeight="1">
      <c r="A26" s="141" t="s">
        <v>326</v>
      </c>
      <c r="B26" s="141" t="s">
        <v>140</v>
      </c>
      <c r="C26" s="141" t="s">
        <v>141</v>
      </c>
      <c r="D26" s="141">
        <v>0</v>
      </c>
      <c r="E26" s="141">
        <v>57900</v>
      </c>
      <c r="F26" s="141">
        <v>57900</v>
      </c>
      <c r="G26" s="141" t="s">
        <v>55</v>
      </c>
      <c r="H26" s="145">
        <f t="shared" si="5"/>
        <v>57900</v>
      </c>
      <c r="I26" s="141"/>
      <c r="J26" s="141"/>
      <c r="K26" s="141"/>
      <c r="L26" s="141"/>
      <c r="M26" s="142">
        <f>+H26</f>
        <v>57900</v>
      </c>
      <c r="N26" s="141"/>
      <c r="O26" s="141"/>
      <c r="P26" s="141"/>
      <c r="Q26" s="141"/>
      <c r="R26" s="143"/>
      <c r="S26" s="141"/>
      <c r="T26" s="144"/>
      <c r="U26" s="141"/>
      <c r="V26" s="143"/>
      <c r="W26" s="143"/>
      <c r="X26" s="143"/>
      <c r="Y26" s="143"/>
      <c r="Z26" s="143"/>
      <c r="AA26" s="141"/>
      <c r="AB26" s="6">
        <f t="shared" si="2"/>
        <v>57900</v>
      </c>
      <c r="AC26" s="6">
        <f t="shared" si="3"/>
        <v>0</v>
      </c>
      <c r="AD26" s="141" t="s">
        <v>743</v>
      </c>
    </row>
    <row r="27" spans="1:30" ht="12" customHeight="1">
      <c r="A27" s="141" t="s">
        <v>326</v>
      </c>
      <c r="B27" s="141" t="s">
        <v>316</v>
      </c>
      <c r="C27" s="141" t="s">
        <v>317</v>
      </c>
      <c r="D27" s="141">
        <v>7681.82</v>
      </c>
      <c r="E27" s="141">
        <v>84500</v>
      </c>
      <c r="F27" s="141">
        <v>76818.179999999993</v>
      </c>
      <c r="G27" s="141" t="s">
        <v>8</v>
      </c>
      <c r="H27" s="145">
        <f t="shared" si="5"/>
        <v>84500</v>
      </c>
      <c r="I27" s="141"/>
      <c r="J27" s="141"/>
      <c r="K27" s="142">
        <f>+H27</f>
        <v>84500</v>
      </c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6">
        <f t="shared" si="2"/>
        <v>84500</v>
      </c>
      <c r="AC27" s="6">
        <f t="shared" si="3"/>
        <v>0</v>
      </c>
      <c r="AD27" s="141" t="s">
        <v>743</v>
      </c>
    </row>
    <row r="28" spans="1:30" ht="12" customHeight="1">
      <c r="A28" s="141" t="s">
        <v>326</v>
      </c>
      <c r="B28" s="141" t="s">
        <v>206</v>
      </c>
      <c r="C28" s="141" t="s">
        <v>207</v>
      </c>
      <c r="D28" s="141">
        <v>14295.45</v>
      </c>
      <c r="E28" s="141">
        <v>157250</v>
      </c>
      <c r="F28" s="141">
        <v>142954.54999999999</v>
      </c>
      <c r="G28" s="141" t="s">
        <v>8</v>
      </c>
      <c r="H28" s="145">
        <f t="shared" si="5"/>
        <v>157250</v>
      </c>
      <c r="I28" s="70"/>
      <c r="J28" s="141"/>
      <c r="K28" s="141"/>
      <c r="L28" s="141"/>
      <c r="M28" s="141"/>
      <c r="N28" s="141"/>
      <c r="O28" s="141"/>
      <c r="P28" s="142">
        <f>+H28</f>
        <v>157250</v>
      </c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6">
        <f t="shared" si="2"/>
        <v>157250</v>
      </c>
      <c r="AC28" s="6">
        <f t="shared" si="3"/>
        <v>0</v>
      </c>
      <c r="AD28" s="141" t="s">
        <v>743</v>
      </c>
    </row>
    <row r="29" spans="1:30" ht="12" customHeight="1">
      <c r="A29" s="141" t="s">
        <v>326</v>
      </c>
      <c r="B29" s="141" t="s">
        <v>87</v>
      </c>
      <c r="C29" s="141" t="s">
        <v>88</v>
      </c>
      <c r="D29" s="141">
        <v>19792.91</v>
      </c>
      <c r="E29" s="141">
        <v>217722</v>
      </c>
      <c r="F29" s="141">
        <v>197929.09</v>
      </c>
      <c r="G29" s="141" t="s">
        <v>8</v>
      </c>
      <c r="H29" s="145">
        <f t="shared" si="5"/>
        <v>217722</v>
      </c>
      <c r="I29" s="70"/>
      <c r="J29" s="141"/>
      <c r="K29" s="141"/>
      <c r="L29" s="141"/>
      <c r="M29" s="141"/>
      <c r="N29" s="141"/>
      <c r="O29" s="141"/>
      <c r="P29" s="142">
        <f>+H29</f>
        <v>217722</v>
      </c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6">
        <f t="shared" si="2"/>
        <v>217722</v>
      </c>
      <c r="AC29" s="6">
        <f t="shared" si="3"/>
        <v>0</v>
      </c>
      <c r="AD29" s="141" t="s">
        <v>743</v>
      </c>
    </row>
    <row r="30" spans="1:30" ht="12" customHeight="1">
      <c r="A30" s="141" t="s">
        <v>326</v>
      </c>
      <c r="B30" s="141" t="s">
        <v>329</v>
      </c>
      <c r="C30" s="141" t="s">
        <v>330</v>
      </c>
      <c r="D30" s="141">
        <v>44094.64</v>
      </c>
      <c r="E30" s="141">
        <v>490439</v>
      </c>
      <c r="F30" s="141">
        <v>446344.36</v>
      </c>
      <c r="G30" s="141" t="s">
        <v>8</v>
      </c>
      <c r="H30" s="145">
        <f t="shared" si="5"/>
        <v>490439</v>
      </c>
      <c r="I30" s="141"/>
      <c r="J30" s="141"/>
      <c r="K30" s="70">
        <f>+H30</f>
        <v>490439</v>
      </c>
      <c r="L30" s="141"/>
      <c r="M30" s="141"/>
      <c r="N30" s="141"/>
      <c r="O30" s="141"/>
      <c r="P30" s="141"/>
      <c r="Q30" s="141"/>
      <c r="R30" s="143"/>
      <c r="S30" s="141"/>
      <c r="T30" s="144"/>
      <c r="U30" s="141"/>
      <c r="V30" s="143"/>
      <c r="W30" s="143"/>
      <c r="X30" s="143"/>
      <c r="Y30" s="143"/>
      <c r="Z30" s="143"/>
      <c r="AA30" s="141"/>
      <c r="AB30" s="6">
        <f t="shared" si="2"/>
        <v>490439</v>
      </c>
      <c r="AC30" s="6">
        <f t="shared" si="3"/>
        <v>0</v>
      </c>
      <c r="AD30" s="141" t="s">
        <v>743</v>
      </c>
    </row>
    <row r="31" spans="1:30" ht="12" customHeight="1">
      <c r="A31" s="141" t="s">
        <v>323</v>
      </c>
      <c r="B31" s="141" t="s">
        <v>324</v>
      </c>
      <c r="C31" s="141" t="s">
        <v>325</v>
      </c>
      <c r="D31" s="141">
        <v>13728.18</v>
      </c>
      <c r="E31" s="141">
        <v>151010</v>
      </c>
      <c r="F31" s="141">
        <v>137281.82</v>
      </c>
      <c r="G31" s="141" t="s">
        <v>8</v>
      </c>
      <c r="H31" s="145">
        <f t="shared" si="5"/>
        <v>151010</v>
      </c>
      <c r="I31" s="70"/>
      <c r="J31" s="141"/>
      <c r="K31" s="141"/>
      <c r="L31" s="141"/>
      <c r="M31" s="141"/>
      <c r="N31" s="141"/>
      <c r="O31" s="141"/>
      <c r="P31" s="70">
        <f>+H31</f>
        <v>151010</v>
      </c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6">
        <f t="shared" si="2"/>
        <v>151010</v>
      </c>
      <c r="AC31" s="6">
        <f t="shared" si="3"/>
        <v>0</v>
      </c>
      <c r="AD31" s="141" t="s">
        <v>743</v>
      </c>
    </row>
    <row r="32" spans="1:30" ht="12" customHeight="1">
      <c r="A32" s="141" t="s">
        <v>320</v>
      </c>
      <c r="B32" s="146" t="s">
        <v>942</v>
      </c>
      <c r="C32" s="146" t="s">
        <v>943</v>
      </c>
      <c r="D32" s="146" t="s">
        <v>944</v>
      </c>
      <c r="E32" s="84"/>
      <c r="F32" s="146">
        <v>1</v>
      </c>
      <c r="G32" s="146" t="s">
        <v>515</v>
      </c>
      <c r="H32" s="147">
        <v>200000</v>
      </c>
      <c r="I32" s="141">
        <v>200000</v>
      </c>
      <c r="J32" s="141"/>
      <c r="K32" s="143"/>
      <c r="L32" s="141"/>
      <c r="M32" s="143"/>
      <c r="N32" s="141"/>
      <c r="O32" s="141"/>
      <c r="P32" s="143"/>
      <c r="Q32" s="143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6">
        <f t="shared" si="2"/>
        <v>200000</v>
      </c>
      <c r="AC32" s="6">
        <f t="shared" si="3"/>
        <v>0</v>
      </c>
      <c r="AD32" s="141"/>
    </row>
    <row r="33" spans="1:30" ht="12" customHeight="1">
      <c r="A33" s="141" t="s">
        <v>320</v>
      </c>
      <c r="B33" s="146" t="s">
        <v>979</v>
      </c>
      <c r="C33" s="146" t="s">
        <v>914</v>
      </c>
      <c r="D33" s="146" t="s">
        <v>915</v>
      </c>
      <c r="E33" s="84"/>
      <c r="F33" s="146">
        <v>1</v>
      </c>
      <c r="G33" s="146" t="s">
        <v>515</v>
      </c>
      <c r="H33" s="147">
        <v>3160000</v>
      </c>
      <c r="I33" s="141"/>
      <c r="J33" s="141">
        <v>3160000</v>
      </c>
      <c r="K33" s="143"/>
      <c r="L33" s="141"/>
      <c r="M33" s="143"/>
      <c r="N33" s="141"/>
      <c r="O33" s="141"/>
      <c r="P33" s="143"/>
      <c r="Q33" s="143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6">
        <f t="shared" si="2"/>
        <v>3160000</v>
      </c>
      <c r="AC33" s="6">
        <f t="shared" si="3"/>
        <v>0</v>
      </c>
      <c r="AD33" s="141"/>
    </row>
    <row r="34" spans="1:30" ht="12" customHeight="1">
      <c r="A34" s="141" t="s">
        <v>320</v>
      </c>
      <c r="B34" s="146" t="s">
        <v>983</v>
      </c>
      <c r="C34" s="146" t="s">
        <v>984</v>
      </c>
      <c r="D34" s="84"/>
      <c r="E34" s="146" t="s">
        <v>985</v>
      </c>
      <c r="F34" s="146">
        <v>1</v>
      </c>
      <c r="G34" s="146" t="s">
        <v>515</v>
      </c>
      <c r="H34" s="147">
        <v>6400000</v>
      </c>
      <c r="I34" s="141"/>
      <c r="J34" s="141">
        <v>6400000</v>
      </c>
      <c r="K34" s="143"/>
      <c r="L34" s="141"/>
      <c r="M34" s="143"/>
      <c r="N34" s="141"/>
      <c r="O34" s="141"/>
      <c r="P34" s="143"/>
      <c r="Q34" s="143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6">
        <f t="shared" si="2"/>
        <v>6400000</v>
      </c>
      <c r="AC34" s="6">
        <f t="shared" si="3"/>
        <v>0</v>
      </c>
      <c r="AD34" s="141"/>
    </row>
    <row r="35" spans="1:30" ht="12" customHeight="1">
      <c r="A35" s="141" t="s">
        <v>320</v>
      </c>
      <c r="B35" s="141" t="s">
        <v>321</v>
      </c>
      <c r="C35" s="141" t="s">
        <v>322</v>
      </c>
      <c r="D35" s="141">
        <v>0</v>
      </c>
      <c r="E35" s="141">
        <v>50000</v>
      </c>
      <c r="F35" s="141">
        <v>50000</v>
      </c>
      <c r="G35" s="141" t="s">
        <v>55</v>
      </c>
      <c r="H35" s="145">
        <f t="shared" ref="H35:H37" si="6">+E35</f>
        <v>50000</v>
      </c>
      <c r="I35" s="141"/>
      <c r="J35" s="141"/>
      <c r="K35" s="141"/>
      <c r="L35" s="70">
        <v>50000</v>
      </c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6">
        <f t="shared" si="2"/>
        <v>50000</v>
      </c>
      <c r="AC35" s="6">
        <f t="shared" si="3"/>
        <v>0</v>
      </c>
      <c r="AD35" s="141" t="s">
        <v>743</v>
      </c>
    </row>
    <row r="36" spans="1:30" ht="12" customHeight="1">
      <c r="A36" s="141" t="s">
        <v>320</v>
      </c>
      <c r="B36" s="141" t="s">
        <v>156</v>
      </c>
      <c r="C36" s="141" t="s">
        <v>157</v>
      </c>
      <c r="D36" s="141">
        <v>4545.45</v>
      </c>
      <c r="E36" s="141">
        <v>50000</v>
      </c>
      <c r="F36" s="141">
        <v>45454.55</v>
      </c>
      <c r="G36" s="141" t="s">
        <v>8</v>
      </c>
      <c r="H36" s="145">
        <f t="shared" si="6"/>
        <v>50000</v>
      </c>
      <c r="I36" s="70"/>
      <c r="J36" s="141"/>
      <c r="K36" s="141"/>
      <c r="L36" s="141"/>
      <c r="M36" s="141"/>
      <c r="N36" s="141"/>
      <c r="O36" s="141"/>
      <c r="P36" s="142">
        <f>+H36</f>
        <v>50000</v>
      </c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6">
        <f t="shared" si="2"/>
        <v>50000</v>
      </c>
      <c r="AC36" s="6">
        <f t="shared" si="3"/>
        <v>0</v>
      </c>
      <c r="AD36" s="141" t="s">
        <v>743</v>
      </c>
    </row>
    <row r="37" spans="1:30" ht="12" customHeight="1">
      <c r="A37" s="141" t="s">
        <v>320</v>
      </c>
      <c r="B37" s="141" t="s">
        <v>321</v>
      </c>
      <c r="C37" s="141" t="s">
        <v>322</v>
      </c>
      <c r="D37" s="141">
        <v>0</v>
      </c>
      <c r="E37" s="141">
        <v>320000</v>
      </c>
      <c r="F37" s="141">
        <v>320000</v>
      </c>
      <c r="G37" s="141" t="s">
        <v>55</v>
      </c>
      <c r="H37" s="145">
        <f t="shared" si="6"/>
        <v>320000</v>
      </c>
      <c r="I37" s="141"/>
      <c r="J37" s="141"/>
      <c r="K37" s="141"/>
      <c r="L37" s="70">
        <v>320000</v>
      </c>
      <c r="M37" s="141"/>
      <c r="N37" s="141"/>
      <c r="O37" s="141"/>
      <c r="P37" s="141"/>
      <c r="Q37" s="141"/>
      <c r="R37" s="143"/>
      <c r="S37" s="141"/>
      <c r="T37" s="144"/>
      <c r="U37" s="141"/>
      <c r="V37" s="143"/>
      <c r="W37" s="143"/>
      <c r="X37" s="143"/>
      <c r="Y37" s="143"/>
      <c r="Z37" s="143"/>
      <c r="AA37" s="141"/>
      <c r="AB37" s="6">
        <f t="shared" si="2"/>
        <v>320000</v>
      </c>
      <c r="AC37" s="6">
        <f t="shared" si="3"/>
        <v>0</v>
      </c>
      <c r="AD37" s="141" t="s">
        <v>743</v>
      </c>
    </row>
    <row r="38" spans="1:30" ht="12" customHeight="1">
      <c r="A38" s="141" t="s">
        <v>311</v>
      </c>
      <c r="B38" s="146" t="s">
        <v>919</v>
      </c>
      <c r="C38" s="146" t="s">
        <v>920</v>
      </c>
      <c r="D38" s="146" t="s">
        <v>921</v>
      </c>
      <c r="E38" s="84"/>
      <c r="F38" s="146">
        <v>1</v>
      </c>
      <c r="G38" s="146" t="s">
        <v>515</v>
      </c>
      <c r="H38" s="147">
        <v>40000</v>
      </c>
      <c r="I38" s="142">
        <f>+H38</f>
        <v>40000</v>
      </c>
      <c r="J38" s="141"/>
      <c r="K38" s="143"/>
      <c r="L38" s="141"/>
      <c r="M38" s="143"/>
      <c r="N38" s="141"/>
      <c r="O38" s="141"/>
      <c r="P38" s="143"/>
      <c r="Q38" s="143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6">
        <f t="shared" ref="AB38:AB69" si="7">SUM(I38:AA38)</f>
        <v>40000</v>
      </c>
      <c r="AC38" s="6">
        <f t="shared" ref="AC38:AC69" si="8">+AB38-H38</f>
        <v>0</v>
      </c>
      <c r="AD38" s="141"/>
    </row>
    <row r="39" spans="1:30" ht="12" customHeight="1">
      <c r="A39" s="141" t="s">
        <v>311</v>
      </c>
      <c r="B39" s="146" t="s">
        <v>933</v>
      </c>
      <c r="C39" s="146" t="s">
        <v>934</v>
      </c>
      <c r="D39" s="146" t="s">
        <v>935</v>
      </c>
      <c r="E39" s="84"/>
      <c r="F39" s="146">
        <v>1</v>
      </c>
      <c r="G39" s="146" t="s">
        <v>515</v>
      </c>
      <c r="H39" s="147">
        <v>120000</v>
      </c>
      <c r="I39" s="141">
        <v>120000</v>
      </c>
      <c r="J39" s="141"/>
      <c r="K39" s="143"/>
      <c r="L39" s="141"/>
      <c r="M39" s="143"/>
      <c r="N39" s="141"/>
      <c r="O39" s="141"/>
      <c r="P39" s="143"/>
      <c r="Q39" s="143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6">
        <f t="shared" si="7"/>
        <v>120000</v>
      </c>
      <c r="AC39" s="6">
        <f t="shared" si="8"/>
        <v>0</v>
      </c>
      <c r="AD39" s="141"/>
    </row>
    <row r="40" spans="1:30" ht="12" customHeight="1">
      <c r="A40" s="141" t="s">
        <v>311</v>
      </c>
      <c r="B40" s="141" t="s">
        <v>318</v>
      </c>
      <c r="C40" s="141" t="s">
        <v>319</v>
      </c>
      <c r="D40" s="141">
        <v>636.36363600000004</v>
      </c>
      <c r="E40" s="141">
        <v>7000</v>
      </c>
      <c r="F40" s="141">
        <v>6363.636364</v>
      </c>
      <c r="G40" s="141" t="s">
        <v>8</v>
      </c>
      <c r="H40" s="145">
        <f t="shared" ref="H40:H53" si="9">+E40</f>
        <v>7000</v>
      </c>
      <c r="I40" s="142">
        <f>+H40</f>
        <v>7000</v>
      </c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6">
        <f t="shared" si="7"/>
        <v>7000</v>
      </c>
      <c r="AC40" s="6">
        <f t="shared" si="8"/>
        <v>0</v>
      </c>
      <c r="AD40" s="141" t="s">
        <v>743</v>
      </c>
    </row>
    <row r="41" spans="1:30" ht="12" customHeight="1">
      <c r="A41" s="141" t="s">
        <v>311</v>
      </c>
      <c r="B41" s="141" t="s">
        <v>128</v>
      </c>
      <c r="C41" s="141" t="s">
        <v>129</v>
      </c>
      <c r="D41" s="141">
        <v>1272.73</v>
      </c>
      <c r="E41" s="141">
        <v>14000</v>
      </c>
      <c r="F41" s="141">
        <v>12727.27</v>
      </c>
      <c r="G41" s="141" t="s">
        <v>8</v>
      </c>
      <c r="H41" s="145">
        <f t="shared" si="9"/>
        <v>14000</v>
      </c>
      <c r="I41" s="70">
        <f t="shared" ref="I41:I42" si="10">+H41</f>
        <v>14000</v>
      </c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6">
        <f t="shared" si="7"/>
        <v>14000</v>
      </c>
      <c r="AC41" s="6">
        <f t="shared" si="8"/>
        <v>0</v>
      </c>
      <c r="AD41" s="141" t="s">
        <v>743</v>
      </c>
    </row>
    <row r="42" spans="1:30" ht="12" customHeight="1">
      <c r="A42" s="141" t="s">
        <v>311</v>
      </c>
      <c r="B42" s="141" t="s">
        <v>245</v>
      </c>
      <c r="C42" s="141" t="s">
        <v>246</v>
      </c>
      <c r="D42" s="141">
        <v>1363.64</v>
      </c>
      <c r="E42" s="141">
        <v>15000</v>
      </c>
      <c r="F42" s="141">
        <v>13636.36</v>
      </c>
      <c r="G42" s="141" t="s">
        <v>8</v>
      </c>
      <c r="H42" s="145">
        <f t="shared" si="9"/>
        <v>15000</v>
      </c>
      <c r="I42" s="70">
        <f t="shared" si="10"/>
        <v>15000</v>
      </c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6">
        <f t="shared" si="7"/>
        <v>15000</v>
      </c>
      <c r="AC42" s="6">
        <f t="shared" si="8"/>
        <v>0</v>
      </c>
      <c r="AD42" s="141" t="s">
        <v>743</v>
      </c>
    </row>
    <row r="43" spans="1:30" ht="12" customHeight="1">
      <c r="A43" s="141" t="s">
        <v>311</v>
      </c>
      <c r="B43" s="141" t="s">
        <v>87</v>
      </c>
      <c r="C43" s="141" t="s">
        <v>88</v>
      </c>
      <c r="D43" s="141">
        <v>1363.64</v>
      </c>
      <c r="E43" s="141">
        <v>15000</v>
      </c>
      <c r="F43" s="141">
        <v>13636.36</v>
      </c>
      <c r="G43" s="141" t="s">
        <v>8</v>
      </c>
      <c r="H43" s="145">
        <f t="shared" si="9"/>
        <v>15000</v>
      </c>
      <c r="I43" s="70"/>
      <c r="J43" s="141"/>
      <c r="K43" s="141"/>
      <c r="L43" s="141"/>
      <c r="M43" s="141"/>
      <c r="N43" s="141"/>
      <c r="O43" s="141"/>
      <c r="P43" s="142">
        <f>+H43</f>
        <v>15000</v>
      </c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6">
        <f t="shared" si="7"/>
        <v>15000</v>
      </c>
      <c r="AC43" s="6">
        <f t="shared" si="8"/>
        <v>0</v>
      </c>
      <c r="AD43" s="141" t="s">
        <v>743</v>
      </c>
    </row>
    <row r="44" spans="1:30" ht="12" customHeight="1">
      <c r="A44" s="141" t="s">
        <v>311</v>
      </c>
      <c r="B44" s="141" t="s">
        <v>87</v>
      </c>
      <c r="C44" s="141" t="s">
        <v>88</v>
      </c>
      <c r="D44" s="141">
        <v>1818.18</v>
      </c>
      <c r="E44" s="141">
        <v>20000</v>
      </c>
      <c r="F44" s="141">
        <v>18181.82</v>
      </c>
      <c r="G44" s="141" t="s">
        <v>8</v>
      </c>
      <c r="H44" s="145">
        <f t="shared" si="9"/>
        <v>20000</v>
      </c>
      <c r="I44" s="70"/>
      <c r="J44" s="141"/>
      <c r="K44" s="141"/>
      <c r="L44" s="141"/>
      <c r="M44" s="141"/>
      <c r="N44" s="141"/>
      <c r="O44" s="141"/>
      <c r="P44" s="142">
        <f>+H44</f>
        <v>20000</v>
      </c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6">
        <f t="shared" si="7"/>
        <v>20000</v>
      </c>
      <c r="AC44" s="6">
        <f t="shared" si="8"/>
        <v>0</v>
      </c>
      <c r="AD44" s="141" t="s">
        <v>743</v>
      </c>
    </row>
    <row r="45" spans="1:30" ht="12" customHeight="1">
      <c r="A45" s="141" t="s">
        <v>311</v>
      </c>
      <c r="B45" s="141" t="s">
        <v>128</v>
      </c>
      <c r="C45" s="141" t="s">
        <v>129</v>
      </c>
      <c r="D45" s="141">
        <v>2263.64</v>
      </c>
      <c r="E45" s="141">
        <v>24900</v>
      </c>
      <c r="F45" s="141">
        <v>22636.36</v>
      </c>
      <c r="G45" s="141" t="s">
        <v>8</v>
      </c>
      <c r="H45" s="145">
        <f t="shared" si="9"/>
        <v>24900</v>
      </c>
      <c r="I45" s="70">
        <f t="shared" ref="I45:I46" si="11">+H45</f>
        <v>24900</v>
      </c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6">
        <f t="shared" si="7"/>
        <v>24900</v>
      </c>
      <c r="AC45" s="6">
        <f t="shared" si="8"/>
        <v>0</v>
      </c>
      <c r="AD45" s="141" t="s">
        <v>743</v>
      </c>
    </row>
    <row r="46" spans="1:30" ht="12" customHeight="1">
      <c r="A46" s="141" t="s">
        <v>311</v>
      </c>
      <c r="B46" s="141" t="s">
        <v>128</v>
      </c>
      <c r="C46" s="141" t="s">
        <v>129</v>
      </c>
      <c r="D46" s="141">
        <v>4072.73</v>
      </c>
      <c r="E46" s="141">
        <v>44800.01</v>
      </c>
      <c r="F46" s="141">
        <v>40727.279999999999</v>
      </c>
      <c r="G46" s="141" t="s">
        <v>8</v>
      </c>
      <c r="H46" s="145">
        <f t="shared" si="9"/>
        <v>44800.01</v>
      </c>
      <c r="I46" s="70">
        <f t="shared" si="11"/>
        <v>44800.01</v>
      </c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6">
        <f t="shared" si="7"/>
        <v>44800.01</v>
      </c>
      <c r="AC46" s="6">
        <f t="shared" si="8"/>
        <v>0</v>
      </c>
      <c r="AD46" s="141" t="s">
        <v>743</v>
      </c>
    </row>
    <row r="47" spans="1:30" ht="12" customHeight="1">
      <c r="A47" s="141" t="s">
        <v>311</v>
      </c>
      <c r="B47" s="141" t="s">
        <v>87</v>
      </c>
      <c r="C47" s="141" t="s">
        <v>88</v>
      </c>
      <c r="D47" s="141">
        <v>4545.45</v>
      </c>
      <c r="E47" s="141">
        <v>50000</v>
      </c>
      <c r="F47" s="141">
        <v>45454.55</v>
      </c>
      <c r="G47" s="141" t="s">
        <v>8</v>
      </c>
      <c r="H47" s="145">
        <f t="shared" si="9"/>
        <v>50000</v>
      </c>
      <c r="I47" s="70"/>
      <c r="J47" s="141"/>
      <c r="K47" s="141"/>
      <c r="L47" s="141"/>
      <c r="M47" s="141"/>
      <c r="N47" s="141"/>
      <c r="O47" s="141"/>
      <c r="P47" s="142">
        <f>+H47</f>
        <v>50000</v>
      </c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6">
        <f t="shared" si="7"/>
        <v>50000</v>
      </c>
      <c r="AC47" s="6">
        <f t="shared" si="8"/>
        <v>0</v>
      </c>
      <c r="AD47" s="141" t="s">
        <v>743</v>
      </c>
    </row>
    <row r="48" spans="1:30" ht="12" customHeight="1">
      <c r="A48" s="141" t="s">
        <v>311</v>
      </c>
      <c r="B48" s="141" t="s">
        <v>128</v>
      </c>
      <c r="C48" s="141" t="s">
        <v>129</v>
      </c>
      <c r="D48" s="141">
        <v>4981.82</v>
      </c>
      <c r="E48" s="141">
        <v>54799.99</v>
      </c>
      <c r="F48" s="141">
        <v>49818.17</v>
      </c>
      <c r="G48" s="141" t="s">
        <v>8</v>
      </c>
      <c r="H48" s="145">
        <f t="shared" si="9"/>
        <v>54799.99</v>
      </c>
      <c r="I48" s="70">
        <f>+H48</f>
        <v>54799.99</v>
      </c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6">
        <f t="shared" si="7"/>
        <v>54799.99</v>
      </c>
      <c r="AC48" s="6">
        <f t="shared" si="8"/>
        <v>0</v>
      </c>
      <c r="AD48" s="141" t="s">
        <v>743</v>
      </c>
    </row>
    <row r="49" spans="1:30" ht="12" customHeight="1">
      <c r="A49" s="141" t="s">
        <v>311</v>
      </c>
      <c r="B49" s="141" t="s">
        <v>318</v>
      </c>
      <c r="C49" s="141" t="s">
        <v>319</v>
      </c>
      <c r="D49" s="141">
        <v>5681.818182</v>
      </c>
      <c r="E49" s="141">
        <v>62500</v>
      </c>
      <c r="F49" s="141">
        <v>56818.181817999997</v>
      </c>
      <c r="G49" s="141" t="s">
        <v>8</v>
      </c>
      <c r="H49" s="145">
        <f t="shared" si="9"/>
        <v>62500</v>
      </c>
      <c r="I49" s="142">
        <f>+H49</f>
        <v>62500</v>
      </c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6">
        <f t="shared" si="7"/>
        <v>62500</v>
      </c>
      <c r="AC49" s="6">
        <f t="shared" si="8"/>
        <v>0</v>
      </c>
      <c r="AD49" s="141" t="s">
        <v>743</v>
      </c>
    </row>
    <row r="50" spans="1:30" ht="12" customHeight="1">
      <c r="A50" s="141" t="s">
        <v>311</v>
      </c>
      <c r="B50" s="141" t="s">
        <v>316</v>
      </c>
      <c r="C50" s="141" t="s">
        <v>317</v>
      </c>
      <c r="D50" s="141">
        <v>8509.09</v>
      </c>
      <c r="E50" s="141">
        <v>93600</v>
      </c>
      <c r="F50" s="141">
        <v>85090.91</v>
      </c>
      <c r="G50" s="141" t="s">
        <v>8</v>
      </c>
      <c r="H50" s="145">
        <f t="shared" si="9"/>
        <v>93600</v>
      </c>
      <c r="I50" s="141"/>
      <c r="J50" s="141"/>
      <c r="K50" s="142">
        <f>+H50</f>
        <v>93600</v>
      </c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6">
        <f t="shared" si="7"/>
        <v>93600</v>
      </c>
      <c r="AC50" s="6">
        <f t="shared" si="8"/>
        <v>0</v>
      </c>
      <c r="AD50" s="141" t="s">
        <v>743</v>
      </c>
    </row>
    <row r="51" spans="1:30" ht="12" customHeight="1">
      <c r="A51" s="141" t="s">
        <v>311</v>
      </c>
      <c r="B51" s="141" t="s">
        <v>316</v>
      </c>
      <c r="C51" s="141" t="s">
        <v>317</v>
      </c>
      <c r="D51" s="141">
        <v>9381.82</v>
      </c>
      <c r="E51" s="141">
        <v>103200</v>
      </c>
      <c r="F51" s="141">
        <v>93818.18</v>
      </c>
      <c r="G51" s="141" t="s">
        <v>8</v>
      </c>
      <c r="H51" s="145">
        <f t="shared" si="9"/>
        <v>103200</v>
      </c>
      <c r="I51" s="141"/>
      <c r="J51" s="141"/>
      <c r="K51" s="142">
        <f>+H51</f>
        <v>103200</v>
      </c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6">
        <f t="shared" si="7"/>
        <v>103200</v>
      </c>
      <c r="AC51" s="6">
        <f t="shared" si="8"/>
        <v>0</v>
      </c>
      <c r="AD51" s="141" t="s">
        <v>743</v>
      </c>
    </row>
    <row r="52" spans="1:30" ht="12" customHeight="1">
      <c r="A52" s="141" t="s">
        <v>311</v>
      </c>
      <c r="B52" s="141" t="s">
        <v>312</v>
      </c>
      <c r="C52" s="141" t="s">
        <v>313</v>
      </c>
      <c r="D52" s="141">
        <v>23636.363635999998</v>
      </c>
      <c r="E52" s="141">
        <v>260000</v>
      </c>
      <c r="F52" s="141">
        <v>236363.63636400001</v>
      </c>
      <c r="G52" s="141" t="s">
        <v>8</v>
      </c>
      <c r="H52" s="145">
        <f t="shared" si="9"/>
        <v>260000</v>
      </c>
      <c r="I52" s="142">
        <f>+H52</f>
        <v>260000</v>
      </c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6">
        <f t="shared" si="7"/>
        <v>260000</v>
      </c>
      <c r="AC52" s="6">
        <f t="shared" si="8"/>
        <v>0</v>
      </c>
      <c r="AD52" s="141" t="s">
        <v>743</v>
      </c>
    </row>
    <row r="53" spans="1:30" ht="12" customHeight="1">
      <c r="A53" s="141" t="s">
        <v>311</v>
      </c>
      <c r="B53" s="141" t="s">
        <v>314</v>
      </c>
      <c r="C53" s="141" t="s">
        <v>315</v>
      </c>
      <c r="D53" s="141">
        <v>24481.818181999999</v>
      </c>
      <c r="E53" s="141">
        <v>269300</v>
      </c>
      <c r="F53" s="141">
        <v>244818.18181800001</v>
      </c>
      <c r="G53" s="141" t="s">
        <v>8</v>
      </c>
      <c r="H53" s="145">
        <f t="shared" si="9"/>
        <v>269300</v>
      </c>
      <c r="I53" s="141"/>
      <c r="J53" s="141"/>
      <c r="K53" s="142">
        <f>+H53</f>
        <v>269300</v>
      </c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6">
        <f t="shared" si="7"/>
        <v>269300</v>
      </c>
      <c r="AC53" s="6">
        <f t="shared" si="8"/>
        <v>0</v>
      </c>
      <c r="AD53" s="141" t="s">
        <v>743</v>
      </c>
    </row>
    <row r="54" spans="1:30" ht="12" customHeight="1">
      <c r="A54" s="141" t="s">
        <v>310</v>
      </c>
      <c r="B54" s="146" t="s">
        <v>964</v>
      </c>
      <c r="C54" s="146" t="s">
        <v>920</v>
      </c>
      <c r="D54" s="146" t="s">
        <v>921</v>
      </c>
      <c r="E54" s="84"/>
      <c r="F54" s="146">
        <v>1</v>
      </c>
      <c r="G54" s="146" t="s">
        <v>515</v>
      </c>
      <c r="H54" s="147">
        <v>645000</v>
      </c>
      <c r="I54" s="141">
        <v>645000</v>
      </c>
      <c r="J54" s="141"/>
      <c r="K54" s="143"/>
      <c r="L54" s="141"/>
      <c r="M54" s="143"/>
      <c r="N54" s="141"/>
      <c r="O54" s="141"/>
      <c r="P54" s="143"/>
      <c r="Q54" s="143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6">
        <f t="shared" si="7"/>
        <v>645000</v>
      </c>
      <c r="AC54" s="6">
        <f t="shared" si="8"/>
        <v>0</v>
      </c>
      <c r="AD54" s="141"/>
    </row>
    <row r="55" spans="1:30" ht="12" customHeight="1">
      <c r="A55" s="141" t="s">
        <v>310</v>
      </c>
      <c r="B55" s="149" t="s">
        <v>966</v>
      </c>
      <c r="C55" s="149" t="s">
        <v>958</v>
      </c>
      <c r="D55" s="149" t="s">
        <v>959</v>
      </c>
      <c r="E55" s="84"/>
      <c r="F55" s="149">
        <v>1</v>
      </c>
      <c r="G55" s="149" t="s">
        <v>515</v>
      </c>
      <c r="H55" s="150">
        <v>1100000</v>
      </c>
      <c r="I55" s="142">
        <f>+H55</f>
        <v>1100000</v>
      </c>
      <c r="J55" s="141"/>
      <c r="K55" s="143"/>
      <c r="L55" s="141"/>
      <c r="M55" s="143"/>
      <c r="N55" s="141"/>
      <c r="O55" s="141"/>
      <c r="P55" s="143"/>
      <c r="Q55" s="143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6">
        <f t="shared" si="7"/>
        <v>1100000</v>
      </c>
      <c r="AC55" s="6">
        <f t="shared" si="8"/>
        <v>0</v>
      </c>
      <c r="AD55" s="141"/>
    </row>
    <row r="56" spans="1:30" ht="12" customHeight="1">
      <c r="A56" s="141" t="s">
        <v>310</v>
      </c>
      <c r="B56" s="146" t="s">
        <v>980</v>
      </c>
      <c r="C56" s="146" t="s">
        <v>981</v>
      </c>
      <c r="D56" s="146" t="s">
        <v>982</v>
      </c>
      <c r="E56" s="84"/>
      <c r="F56" s="146">
        <v>1</v>
      </c>
      <c r="G56" s="146" t="s">
        <v>515</v>
      </c>
      <c r="H56" s="147">
        <v>4500000</v>
      </c>
      <c r="I56" s="142">
        <f>+H56</f>
        <v>4500000</v>
      </c>
      <c r="J56" s="141"/>
      <c r="K56" s="143"/>
      <c r="L56" s="141"/>
      <c r="M56" s="143"/>
      <c r="N56" s="141"/>
      <c r="O56" s="141"/>
      <c r="P56" s="143"/>
      <c r="Q56" s="143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6">
        <f t="shared" si="7"/>
        <v>4500000</v>
      </c>
      <c r="AC56" s="6">
        <f t="shared" si="8"/>
        <v>0</v>
      </c>
      <c r="AD56" s="141"/>
    </row>
    <row r="57" spans="1:30" ht="12" customHeight="1">
      <c r="A57" s="141" t="s">
        <v>310</v>
      </c>
      <c r="B57" s="141" t="s">
        <v>149</v>
      </c>
      <c r="C57" s="141" t="s">
        <v>150</v>
      </c>
      <c r="D57" s="141">
        <v>8675.1623380000001</v>
      </c>
      <c r="E57" s="141">
        <v>95600</v>
      </c>
      <c r="F57" s="141">
        <v>86924.837662000005</v>
      </c>
      <c r="G57" s="141" t="s">
        <v>8</v>
      </c>
      <c r="H57" s="145">
        <f t="shared" ref="H57:H59" si="12">+E57</f>
        <v>95600</v>
      </c>
      <c r="I57" s="141"/>
      <c r="J57" s="141"/>
      <c r="K57" s="70">
        <f>+H57</f>
        <v>95600</v>
      </c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6">
        <f t="shared" si="7"/>
        <v>95600</v>
      </c>
      <c r="AC57" s="6">
        <f t="shared" si="8"/>
        <v>0</v>
      </c>
      <c r="AD57" s="141" t="s">
        <v>743</v>
      </c>
    </row>
    <row r="58" spans="1:30" ht="12" customHeight="1">
      <c r="A58" s="141" t="s">
        <v>310</v>
      </c>
      <c r="B58" s="141" t="s">
        <v>156</v>
      </c>
      <c r="C58" s="141" t="s">
        <v>157</v>
      </c>
      <c r="D58" s="141">
        <v>9090.91</v>
      </c>
      <c r="E58" s="141">
        <v>100000</v>
      </c>
      <c r="F58" s="141">
        <v>90909.09</v>
      </c>
      <c r="G58" s="141" t="s">
        <v>8</v>
      </c>
      <c r="H58" s="145">
        <f t="shared" si="12"/>
        <v>100000</v>
      </c>
      <c r="I58" s="70"/>
      <c r="J58" s="141"/>
      <c r="K58" s="141"/>
      <c r="L58" s="141"/>
      <c r="M58" s="70"/>
      <c r="N58" s="141"/>
      <c r="O58" s="141"/>
      <c r="P58" s="142">
        <f>+H58</f>
        <v>100000</v>
      </c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6">
        <f t="shared" si="7"/>
        <v>100000</v>
      </c>
      <c r="AC58" s="6">
        <f t="shared" si="8"/>
        <v>0</v>
      </c>
      <c r="AD58" s="141" t="s">
        <v>743</v>
      </c>
    </row>
    <row r="59" spans="1:30" ht="12" customHeight="1">
      <c r="A59" s="141" t="s">
        <v>310</v>
      </c>
      <c r="B59" s="141" t="s">
        <v>156</v>
      </c>
      <c r="C59" s="141" t="s">
        <v>157</v>
      </c>
      <c r="D59" s="141">
        <v>9090.91</v>
      </c>
      <c r="E59" s="141">
        <v>100000</v>
      </c>
      <c r="F59" s="141">
        <v>90909.09</v>
      </c>
      <c r="G59" s="141" t="s">
        <v>8</v>
      </c>
      <c r="H59" s="145">
        <f t="shared" si="12"/>
        <v>100000</v>
      </c>
      <c r="I59" s="70"/>
      <c r="J59" s="141"/>
      <c r="K59" s="141"/>
      <c r="L59" s="141"/>
      <c r="M59" s="141"/>
      <c r="N59" s="141"/>
      <c r="O59" s="141"/>
      <c r="P59" s="142">
        <f>+H59</f>
        <v>100000</v>
      </c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6">
        <f t="shared" si="7"/>
        <v>100000</v>
      </c>
      <c r="AC59" s="6">
        <f t="shared" si="8"/>
        <v>0</v>
      </c>
      <c r="AD59" s="141" t="s">
        <v>743</v>
      </c>
    </row>
    <row r="60" spans="1:30" ht="12" customHeight="1">
      <c r="A60" s="141" t="s">
        <v>307</v>
      </c>
      <c r="B60" s="146" t="s">
        <v>945</v>
      </c>
      <c r="C60" s="146" t="s">
        <v>930</v>
      </c>
      <c r="D60" s="146" t="s">
        <v>931</v>
      </c>
      <c r="E60" s="84"/>
      <c r="F60" s="146">
        <v>1</v>
      </c>
      <c r="G60" s="146" t="s">
        <v>515</v>
      </c>
      <c r="H60" s="147">
        <v>200000</v>
      </c>
      <c r="I60" s="141"/>
      <c r="J60" s="141"/>
      <c r="K60" s="143">
        <v>200000</v>
      </c>
      <c r="L60" s="141"/>
      <c r="M60" s="143"/>
      <c r="N60" s="141"/>
      <c r="O60" s="141"/>
      <c r="P60" s="143"/>
      <c r="Q60" s="143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6">
        <f t="shared" si="7"/>
        <v>200000</v>
      </c>
      <c r="AC60" s="6">
        <f t="shared" si="8"/>
        <v>0</v>
      </c>
      <c r="AD60" s="141"/>
    </row>
    <row r="61" spans="1:30" ht="12" customHeight="1">
      <c r="A61" s="141" t="s">
        <v>307</v>
      </c>
      <c r="B61" s="141" t="s">
        <v>308</v>
      </c>
      <c r="C61" s="141" t="s">
        <v>309</v>
      </c>
      <c r="D61" s="141">
        <v>3348.2142859999999</v>
      </c>
      <c r="E61" s="141">
        <v>37500</v>
      </c>
      <c r="F61" s="141">
        <v>34151.785713999998</v>
      </c>
      <c r="G61" s="141" t="s">
        <v>8</v>
      </c>
      <c r="H61" s="145">
        <f t="shared" ref="H61:H65" si="13">+E61</f>
        <v>37500</v>
      </c>
      <c r="I61" s="142">
        <f>+H61</f>
        <v>37500</v>
      </c>
      <c r="J61" s="141"/>
      <c r="K61" s="141"/>
      <c r="L61" s="141"/>
      <c r="M61" s="141"/>
      <c r="N61" s="141"/>
      <c r="O61" s="141"/>
      <c r="P61" s="141"/>
      <c r="Q61" s="141"/>
      <c r="R61" s="143"/>
      <c r="S61" s="141"/>
      <c r="T61" s="144"/>
      <c r="U61" s="141"/>
      <c r="V61" s="143"/>
      <c r="W61" s="143"/>
      <c r="X61" s="143"/>
      <c r="Y61" s="143"/>
      <c r="Z61" s="143"/>
      <c r="AA61" s="141"/>
      <c r="AB61" s="6">
        <f t="shared" si="7"/>
        <v>37500</v>
      </c>
      <c r="AC61" s="6">
        <f t="shared" si="8"/>
        <v>0</v>
      </c>
      <c r="AD61" s="141" t="s">
        <v>743</v>
      </c>
    </row>
    <row r="62" spans="1:30" ht="12" customHeight="1">
      <c r="A62" s="141" t="s">
        <v>307</v>
      </c>
      <c r="B62" s="141" t="s">
        <v>140</v>
      </c>
      <c r="C62" s="141" t="s">
        <v>141</v>
      </c>
      <c r="D62" s="141">
        <v>0</v>
      </c>
      <c r="E62" s="141">
        <v>48250</v>
      </c>
      <c r="F62" s="141">
        <v>48250</v>
      </c>
      <c r="G62" s="141" t="s">
        <v>55</v>
      </c>
      <c r="H62" s="145">
        <f t="shared" si="13"/>
        <v>48250</v>
      </c>
      <c r="I62" s="141"/>
      <c r="J62" s="141"/>
      <c r="K62" s="141"/>
      <c r="L62" s="141"/>
      <c r="M62" s="142">
        <f>+H62</f>
        <v>48250</v>
      </c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6">
        <f t="shared" si="7"/>
        <v>48250</v>
      </c>
      <c r="AC62" s="6">
        <f t="shared" si="8"/>
        <v>0</v>
      </c>
      <c r="AD62" s="141" t="s">
        <v>743</v>
      </c>
    </row>
    <row r="63" spans="1:30" ht="12" customHeight="1">
      <c r="A63" s="141" t="s">
        <v>307</v>
      </c>
      <c r="B63" s="141" t="s">
        <v>308</v>
      </c>
      <c r="C63" s="141" t="s">
        <v>309</v>
      </c>
      <c r="D63" s="141">
        <v>36473.214286000002</v>
      </c>
      <c r="E63" s="141">
        <v>408500</v>
      </c>
      <c r="F63" s="141">
        <v>372026.785714</v>
      </c>
      <c r="G63" s="141" t="s">
        <v>8</v>
      </c>
      <c r="H63" s="145">
        <f t="shared" si="13"/>
        <v>408500</v>
      </c>
      <c r="I63" s="142">
        <f>+H63</f>
        <v>408500</v>
      </c>
      <c r="J63" s="141"/>
      <c r="K63" s="141"/>
      <c r="L63" s="141"/>
      <c r="M63" s="141"/>
      <c r="N63" s="141"/>
      <c r="O63" s="141"/>
      <c r="P63" s="141"/>
      <c r="Q63" s="141"/>
      <c r="R63" s="143"/>
      <c r="S63" s="141"/>
      <c r="T63" s="144"/>
      <c r="U63" s="141"/>
      <c r="V63" s="143"/>
      <c r="W63" s="143"/>
      <c r="X63" s="143"/>
      <c r="Y63" s="143"/>
      <c r="Z63" s="143"/>
      <c r="AA63" s="141"/>
      <c r="AB63" s="6">
        <f t="shared" si="7"/>
        <v>408500</v>
      </c>
      <c r="AC63" s="6">
        <f t="shared" si="8"/>
        <v>0</v>
      </c>
      <c r="AD63" s="141" t="s">
        <v>743</v>
      </c>
    </row>
    <row r="64" spans="1:30" ht="12" customHeight="1">
      <c r="A64" s="141" t="s">
        <v>306</v>
      </c>
      <c r="B64" s="141" t="s">
        <v>287</v>
      </c>
      <c r="C64" s="141" t="s">
        <v>288</v>
      </c>
      <c r="D64" s="141">
        <v>11527.27</v>
      </c>
      <c r="E64" s="141">
        <v>126800</v>
      </c>
      <c r="F64" s="141">
        <v>115272.73</v>
      </c>
      <c r="G64" s="141" t="s">
        <v>8</v>
      </c>
      <c r="H64" s="145">
        <f t="shared" si="13"/>
        <v>126800</v>
      </c>
      <c r="I64" s="70"/>
      <c r="J64" s="141"/>
      <c r="K64" s="142">
        <f>+H64</f>
        <v>126800</v>
      </c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6">
        <f t="shared" si="7"/>
        <v>126800</v>
      </c>
      <c r="AC64" s="6">
        <f t="shared" si="8"/>
        <v>0</v>
      </c>
      <c r="AD64" s="141" t="s">
        <v>743</v>
      </c>
    </row>
    <row r="65" spans="1:30" ht="12" customHeight="1">
      <c r="A65" s="141" t="s">
        <v>303</v>
      </c>
      <c r="B65" s="141" t="s">
        <v>304</v>
      </c>
      <c r="C65" s="141" t="s">
        <v>305</v>
      </c>
      <c r="D65" s="141">
        <v>4545.45</v>
      </c>
      <c r="E65" s="141">
        <v>50000</v>
      </c>
      <c r="F65" s="141">
        <v>45454.55</v>
      </c>
      <c r="G65" s="141" t="s">
        <v>8</v>
      </c>
      <c r="H65" s="145">
        <f t="shared" si="13"/>
        <v>50000</v>
      </c>
      <c r="I65" s="70"/>
      <c r="J65" s="141"/>
      <c r="K65" s="141"/>
      <c r="L65" s="141"/>
      <c r="M65" s="141"/>
      <c r="N65" s="141"/>
      <c r="O65" s="141"/>
      <c r="P65" s="142">
        <f>+H65</f>
        <v>50000</v>
      </c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6">
        <f t="shared" si="7"/>
        <v>50000</v>
      </c>
      <c r="AC65" s="6">
        <f t="shared" si="8"/>
        <v>0</v>
      </c>
      <c r="AD65" s="141" t="s">
        <v>743</v>
      </c>
    </row>
    <row r="66" spans="1:30" ht="12" customHeight="1">
      <c r="A66" s="141" t="s">
        <v>302</v>
      </c>
      <c r="B66" s="148" t="s">
        <v>745</v>
      </c>
      <c r="C66" s="149" t="s">
        <v>930</v>
      </c>
      <c r="D66" s="149" t="s">
        <v>931</v>
      </c>
      <c r="E66" s="84"/>
      <c r="F66" s="149">
        <v>1</v>
      </c>
      <c r="G66" s="149" t="s">
        <v>515</v>
      </c>
      <c r="H66" s="150">
        <v>100000</v>
      </c>
      <c r="I66" s="142">
        <f>+H66</f>
        <v>100000</v>
      </c>
      <c r="J66" s="141"/>
      <c r="K66" s="143"/>
      <c r="L66" s="141"/>
      <c r="M66" s="143"/>
      <c r="N66" s="141"/>
      <c r="O66" s="141"/>
      <c r="P66" s="143"/>
      <c r="Q66" s="143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6">
        <f t="shared" si="7"/>
        <v>100000</v>
      </c>
      <c r="AC66" s="6">
        <f t="shared" si="8"/>
        <v>0</v>
      </c>
      <c r="AD66" s="141"/>
    </row>
    <row r="67" spans="1:30" ht="12" customHeight="1">
      <c r="A67" s="141" t="s">
        <v>302</v>
      </c>
      <c r="B67" s="146" t="s">
        <v>957</v>
      </c>
      <c r="C67" s="146" t="s">
        <v>958</v>
      </c>
      <c r="D67" s="146" t="s">
        <v>959</v>
      </c>
      <c r="E67" s="84"/>
      <c r="F67" s="146">
        <v>1</v>
      </c>
      <c r="G67" s="146" t="s">
        <v>515</v>
      </c>
      <c r="H67" s="147">
        <v>540000</v>
      </c>
      <c r="I67" s="142">
        <f>+H67</f>
        <v>540000</v>
      </c>
      <c r="J67" s="141"/>
      <c r="K67" s="143"/>
      <c r="L67" s="141"/>
      <c r="M67" s="143"/>
      <c r="N67" s="141"/>
      <c r="O67" s="141"/>
      <c r="P67" s="143"/>
      <c r="Q67" s="143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6">
        <f t="shared" si="7"/>
        <v>540000</v>
      </c>
      <c r="AC67" s="6">
        <f t="shared" si="8"/>
        <v>0</v>
      </c>
      <c r="AD67" s="141"/>
    </row>
    <row r="68" spans="1:30" ht="12" customHeight="1">
      <c r="A68" s="141" t="s">
        <v>302</v>
      </c>
      <c r="B68" s="141" t="s">
        <v>156</v>
      </c>
      <c r="C68" s="141" t="s">
        <v>157</v>
      </c>
      <c r="D68" s="141">
        <v>4545.45</v>
      </c>
      <c r="E68" s="141">
        <v>50000</v>
      </c>
      <c r="F68" s="141">
        <v>45454.55</v>
      </c>
      <c r="G68" s="141" t="s">
        <v>8</v>
      </c>
      <c r="H68" s="145">
        <f t="shared" ref="H68:H84" si="14">+E68</f>
        <v>50000</v>
      </c>
      <c r="I68" s="70"/>
      <c r="J68" s="141"/>
      <c r="K68" s="141"/>
      <c r="L68" s="141"/>
      <c r="M68" s="141"/>
      <c r="N68" s="141"/>
      <c r="O68" s="141"/>
      <c r="P68" s="142">
        <f>+H68</f>
        <v>50000</v>
      </c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6">
        <f t="shared" si="7"/>
        <v>50000</v>
      </c>
      <c r="AC68" s="6">
        <f t="shared" si="8"/>
        <v>0</v>
      </c>
      <c r="AD68" s="141" t="s">
        <v>743</v>
      </c>
    </row>
    <row r="69" spans="1:30" ht="12" customHeight="1">
      <c r="A69" s="141" t="s">
        <v>302</v>
      </c>
      <c r="B69" s="141" t="s">
        <v>116</v>
      </c>
      <c r="C69" s="141" t="s">
        <v>117</v>
      </c>
      <c r="D69" s="141">
        <v>0</v>
      </c>
      <c r="E69" s="141">
        <v>99000</v>
      </c>
      <c r="F69" s="141">
        <v>99000</v>
      </c>
      <c r="G69" s="141" t="s">
        <v>55</v>
      </c>
      <c r="H69" s="145">
        <f t="shared" si="14"/>
        <v>99000</v>
      </c>
      <c r="I69" s="70"/>
      <c r="J69" s="141"/>
      <c r="K69" s="141"/>
      <c r="L69" s="141"/>
      <c r="M69" s="142">
        <f>+H69</f>
        <v>99000</v>
      </c>
      <c r="N69" s="141"/>
      <c r="O69" s="141"/>
      <c r="P69" s="141"/>
      <c r="Q69" s="141"/>
      <c r="R69" s="143"/>
      <c r="S69" s="141"/>
      <c r="T69" s="144"/>
      <c r="U69" s="141"/>
      <c r="V69" s="143"/>
      <c r="W69" s="143"/>
      <c r="X69" s="143"/>
      <c r="Y69" s="143"/>
      <c r="Z69" s="143"/>
      <c r="AA69" s="141"/>
      <c r="AB69" s="6">
        <f t="shared" si="7"/>
        <v>99000</v>
      </c>
      <c r="AC69" s="6">
        <f t="shared" si="8"/>
        <v>0</v>
      </c>
      <c r="AD69" s="141" t="s">
        <v>743</v>
      </c>
    </row>
    <row r="70" spans="1:30" ht="12" customHeight="1">
      <c r="A70" s="141" t="s">
        <v>295</v>
      </c>
      <c r="B70" s="141" t="s">
        <v>300</v>
      </c>
      <c r="C70" s="141" t="s">
        <v>301</v>
      </c>
      <c r="D70" s="141">
        <v>4312.91</v>
      </c>
      <c r="E70" s="141">
        <v>47442</v>
      </c>
      <c r="F70" s="141">
        <v>43129.09</v>
      </c>
      <c r="G70" s="141" t="s">
        <v>8</v>
      </c>
      <c r="H70" s="145">
        <f t="shared" si="14"/>
        <v>47442</v>
      </c>
      <c r="I70" s="70"/>
      <c r="J70" s="141"/>
      <c r="K70" s="142">
        <f>+H70</f>
        <v>47442</v>
      </c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6">
        <f t="shared" ref="AB70:AB101" si="15">SUM(I70:AA70)</f>
        <v>47442</v>
      </c>
      <c r="AC70" s="6">
        <f t="shared" ref="AC70:AC101" si="16">+AB70-H70</f>
        <v>0</v>
      </c>
      <c r="AD70" s="141" t="s">
        <v>743</v>
      </c>
    </row>
    <row r="71" spans="1:30" ht="12" customHeight="1">
      <c r="A71" s="141" t="s">
        <v>295</v>
      </c>
      <c r="B71" s="141" t="s">
        <v>296</v>
      </c>
      <c r="C71" s="141" t="s">
        <v>297</v>
      </c>
      <c r="D71" s="141">
        <v>7981.818182</v>
      </c>
      <c r="E71" s="141">
        <v>87800</v>
      </c>
      <c r="F71" s="141">
        <v>79818.181817999997</v>
      </c>
      <c r="G71" s="141" t="s">
        <v>8</v>
      </c>
      <c r="H71" s="145">
        <f t="shared" si="14"/>
        <v>87800</v>
      </c>
      <c r="I71" s="141"/>
      <c r="J71" s="141"/>
      <c r="K71" s="142">
        <f>+H71</f>
        <v>87800</v>
      </c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6">
        <f t="shared" si="15"/>
        <v>87800</v>
      </c>
      <c r="AC71" s="6">
        <f t="shared" si="16"/>
        <v>0</v>
      </c>
      <c r="AD71" s="141" t="s">
        <v>743</v>
      </c>
    </row>
    <row r="72" spans="1:30" ht="12" customHeight="1">
      <c r="A72" s="141" t="s">
        <v>295</v>
      </c>
      <c r="B72" s="141" t="s">
        <v>298</v>
      </c>
      <c r="C72" s="141" t="s">
        <v>299</v>
      </c>
      <c r="D72" s="141">
        <v>10309.91</v>
      </c>
      <c r="E72" s="141">
        <v>113409</v>
      </c>
      <c r="F72" s="141">
        <v>103099.09</v>
      </c>
      <c r="G72" s="141" t="s">
        <v>8</v>
      </c>
      <c r="H72" s="145">
        <f t="shared" si="14"/>
        <v>113409</v>
      </c>
      <c r="I72" s="70">
        <f>+H72</f>
        <v>113409</v>
      </c>
      <c r="J72" s="141"/>
      <c r="K72" s="142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6">
        <f t="shared" si="15"/>
        <v>113409</v>
      </c>
      <c r="AC72" s="6">
        <f t="shared" si="16"/>
        <v>0</v>
      </c>
      <c r="AD72" s="141" t="s">
        <v>743</v>
      </c>
    </row>
    <row r="73" spans="1:30" ht="12" customHeight="1">
      <c r="A73" s="141" t="s">
        <v>292</v>
      </c>
      <c r="B73" s="141" t="s">
        <v>116</v>
      </c>
      <c r="C73" s="141" t="s">
        <v>117</v>
      </c>
      <c r="D73" s="141">
        <v>0</v>
      </c>
      <c r="E73" s="141">
        <v>80000</v>
      </c>
      <c r="F73" s="141">
        <v>80000</v>
      </c>
      <c r="G73" s="141" t="s">
        <v>55</v>
      </c>
      <c r="H73" s="145">
        <f t="shared" si="14"/>
        <v>80000</v>
      </c>
      <c r="I73" s="141"/>
      <c r="J73" s="141"/>
      <c r="K73" s="70">
        <v>80000</v>
      </c>
      <c r="L73" s="141"/>
      <c r="M73" s="141"/>
      <c r="N73" s="141"/>
      <c r="O73" s="141"/>
      <c r="P73" s="141"/>
      <c r="Q73" s="141"/>
      <c r="R73" s="143"/>
      <c r="S73" s="141"/>
      <c r="T73" s="144"/>
      <c r="U73" s="143"/>
      <c r="V73" s="143"/>
      <c r="W73" s="143"/>
      <c r="X73" s="143"/>
      <c r="Y73" s="143"/>
      <c r="Z73" s="143"/>
      <c r="AA73" s="141"/>
      <c r="AB73" s="6">
        <f t="shared" si="15"/>
        <v>80000</v>
      </c>
      <c r="AC73" s="6">
        <f t="shared" si="16"/>
        <v>0</v>
      </c>
      <c r="AD73" s="141" t="s">
        <v>743</v>
      </c>
    </row>
    <row r="74" spans="1:30" ht="12" customHeight="1">
      <c r="A74" s="141" t="s">
        <v>292</v>
      </c>
      <c r="B74" s="141" t="s">
        <v>293</v>
      </c>
      <c r="C74" s="141" t="s">
        <v>294</v>
      </c>
      <c r="D74" s="141">
        <v>0</v>
      </c>
      <c r="E74" s="141">
        <v>160000</v>
      </c>
      <c r="F74" s="141">
        <v>160000</v>
      </c>
      <c r="G74" s="141" t="s">
        <v>8</v>
      </c>
      <c r="H74" s="145">
        <f t="shared" si="14"/>
        <v>160000</v>
      </c>
      <c r="I74" s="141"/>
      <c r="J74" s="70"/>
      <c r="K74" s="142">
        <f>+H74</f>
        <v>160000</v>
      </c>
      <c r="L74" s="141"/>
      <c r="M74" s="141"/>
      <c r="N74" s="141"/>
      <c r="O74" s="141"/>
      <c r="P74" s="141"/>
      <c r="Q74" s="141"/>
      <c r="R74" s="143"/>
      <c r="S74" s="141"/>
      <c r="T74" s="144"/>
      <c r="U74" s="143"/>
      <c r="V74" s="143"/>
      <c r="W74" s="143"/>
      <c r="X74" s="143"/>
      <c r="Y74" s="143"/>
      <c r="Z74" s="143"/>
      <c r="AA74" s="141"/>
      <c r="AB74" s="6">
        <f t="shared" si="15"/>
        <v>160000</v>
      </c>
      <c r="AC74" s="6">
        <f t="shared" si="16"/>
        <v>0</v>
      </c>
      <c r="AD74" s="141" t="s">
        <v>743</v>
      </c>
    </row>
    <row r="75" spans="1:30" ht="12" customHeight="1">
      <c r="A75" s="141" t="s">
        <v>291</v>
      </c>
      <c r="B75" s="141" t="s">
        <v>87</v>
      </c>
      <c r="C75" s="141" t="s">
        <v>88</v>
      </c>
      <c r="D75" s="141">
        <v>14463.64</v>
      </c>
      <c r="E75" s="141">
        <v>159100</v>
      </c>
      <c r="F75" s="141">
        <v>144636.35999999999</v>
      </c>
      <c r="G75" s="141" t="s">
        <v>8</v>
      </c>
      <c r="H75" s="145">
        <f t="shared" si="14"/>
        <v>159100</v>
      </c>
      <c r="I75" s="142"/>
      <c r="J75" s="141"/>
      <c r="K75" s="141"/>
      <c r="L75" s="141"/>
      <c r="M75" s="141"/>
      <c r="N75" s="141"/>
      <c r="O75" s="141"/>
      <c r="P75" s="142">
        <f>+H75</f>
        <v>159100</v>
      </c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6">
        <f t="shared" si="15"/>
        <v>159100</v>
      </c>
      <c r="AC75" s="6">
        <f t="shared" si="16"/>
        <v>0</v>
      </c>
      <c r="AD75" s="141" t="s">
        <v>743</v>
      </c>
    </row>
    <row r="76" spans="1:30" ht="12" customHeight="1">
      <c r="A76" s="141" t="s">
        <v>290</v>
      </c>
      <c r="B76" s="141" t="s">
        <v>241</v>
      </c>
      <c r="C76" s="141" t="s">
        <v>242</v>
      </c>
      <c r="D76" s="141">
        <v>5500</v>
      </c>
      <c r="E76" s="141">
        <v>60500</v>
      </c>
      <c r="F76" s="141">
        <v>55000</v>
      </c>
      <c r="G76" s="141" t="s">
        <v>8</v>
      </c>
      <c r="H76" s="145">
        <f t="shared" si="14"/>
        <v>60500</v>
      </c>
      <c r="I76" s="70"/>
      <c r="J76" s="70"/>
      <c r="K76" s="70"/>
      <c r="L76" s="141"/>
      <c r="M76" s="141"/>
      <c r="N76" s="142">
        <f>+H76</f>
        <v>60500</v>
      </c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  <c r="AB76" s="6">
        <f t="shared" si="15"/>
        <v>60500</v>
      </c>
      <c r="AC76" s="6">
        <f t="shared" si="16"/>
        <v>0</v>
      </c>
      <c r="AD76" s="141" t="s">
        <v>743</v>
      </c>
    </row>
    <row r="77" spans="1:30" ht="12" customHeight="1">
      <c r="A77" s="141" t="s">
        <v>290</v>
      </c>
      <c r="B77" s="141" t="s">
        <v>87</v>
      </c>
      <c r="C77" s="141" t="s">
        <v>88</v>
      </c>
      <c r="D77" s="141">
        <v>9090.91</v>
      </c>
      <c r="E77" s="141">
        <v>100000</v>
      </c>
      <c r="F77" s="141">
        <v>90909.09</v>
      </c>
      <c r="G77" s="141" t="s">
        <v>8</v>
      </c>
      <c r="H77" s="145">
        <f t="shared" si="14"/>
        <v>100000</v>
      </c>
      <c r="I77" s="142"/>
      <c r="J77" s="141"/>
      <c r="K77" s="141"/>
      <c r="L77" s="141"/>
      <c r="M77" s="141"/>
      <c r="N77" s="141"/>
      <c r="O77" s="141"/>
      <c r="P77" s="142">
        <f>+H77</f>
        <v>100000</v>
      </c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  <c r="AB77" s="6">
        <f t="shared" si="15"/>
        <v>100000</v>
      </c>
      <c r="AC77" s="6">
        <f t="shared" si="16"/>
        <v>0</v>
      </c>
      <c r="AD77" s="141" t="s">
        <v>743</v>
      </c>
    </row>
    <row r="78" spans="1:30" ht="12" customHeight="1">
      <c r="A78" s="141" t="s">
        <v>290</v>
      </c>
      <c r="B78" s="141" t="s">
        <v>241</v>
      </c>
      <c r="C78" s="141" t="s">
        <v>242</v>
      </c>
      <c r="D78" s="141">
        <v>28000</v>
      </c>
      <c r="E78" s="141">
        <v>308000</v>
      </c>
      <c r="F78" s="141">
        <v>280000</v>
      </c>
      <c r="G78" s="141" t="s">
        <v>8</v>
      </c>
      <c r="H78" s="145">
        <f t="shared" si="14"/>
        <v>308000</v>
      </c>
      <c r="I78" s="70"/>
      <c r="J78" s="141"/>
      <c r="K78" s="141"/>
      <c r="L78" s="141"/>
      <c r="M78" s="142"/>
      <c r="N78" s="142">
        <f>+H78</f>
        <v>308000</v>
      </c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  <c r="AB78" s="6">
        <f t="shared" si="15"/>
        <v>308000</v>
      </c>
      <c r="AC78" s="6">
        <f t="shared" si="16"/>
        <v>0</v>
      </c>
      <c r="AD78" s="141" t="s">
        <v>743</v>
      </c>
    </row>
    <row r="79" spans="1:30" ht="12" customHeight="1">
      <c r="A79" s="141" t="s">
        <v>290</v>
      </c>
      <c r="B79" s="141" t="s">
        <v>241</v>
      </c>
      <c r="C79" s="141" t="s">
        <v>242</v>
      </c>
      <c r="D79" s="141">
        <v>53000</v>
      </c>
      <c r="E79" s="141">
        <v>583000</v>
      </c>
      <c r="F79" s="141">
        <v>530000</v>
      </c>
      <c r="G79" s="141" t="s">
        <v>8</v>
      </c>
      <c r="H79" s="145">
        <f t="shared" si="14"/>
        <v>583000</v>
      </c>
      <c r="I79" s="141"/>
      <c r="J79" s="141"/>
      <c r="K79" s="141"/>
      <c r="L79" s="141"/>
      <c r="M79" s="141"/>
      <c r="N79" s="142">
        <f>+H79</f>
        <v>583000</v>
      </c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  <c r="AB79" s="6">
        <f t="shared" si="15"/>
        <v>583000</v>
      </c>
      <c r="AC79" s="6">
        <f t="shared" si="16"/>
        <v>0</v>
      </c>
      <c r="AD79" s="141" t="s">
        <v>743</v>
      </c>
    </row>
    <row r="80" spans="1:30" ht="12" customHeight="1">
      <c r="A80" s="141" t="s">
        <v>289</v>
      </c>
      <c r="B80" s="141" t="s">
        <v>99</v>
      </c>
      <c r="C80" s="141" t="s">
        <v>100</v>
      </c>
      <c r="D80" s="141">
        <v>16714.29</v>
      </c>
      <c r="E80" s="141">
        <v>187200</v>
      </c>
      <c r="F80" s="141">
        <v>170485.71</v>
      </c>
      <c r="G80" s="141" t="s">
        <v>8</v>
      </c>
      <c r="H80" s="145">
        <f t="shared" si="14"/>
        <v>187200</v>
      </c>
      <c r="I80" s="142"/>
      <c r="J80" s="141"/>
      <c r="K80" s="142">
        <f>+H80</f>
        <v>187200</v>
      </c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  <c r="AB80" s="6">
        <f t="shared" si="15"/>
        <v>187200</v>
      </c>
      <c r="AC80" s="6">
        <f t="shared" si="16"/>
        <v>0</v>
      </c>
      <c r="AD80" s="141" t="s">
        <v>743</v>
      </c>
    </row>
    <row r="81" spans="1:30" ht="12" customHeight="1">
      <c r="A81" s="141" t="s">
        <v>282</v>
      </c>
      <c r="B81" s="141" t="s">
        <v>103</v>
      </c>
      <c r="C81" s="141" t="s">
        <v>104</v>
      </c>
      <c r="D81" s="141">
        <v>890.91</v>
      </c>
      <c r="E81" s="141">
        <v>9800</v>
      </c>
      <c r="F81" s="141">
        <v>8909.09</v>
      </c>
      <c r="G81" s="141" t="s">
        <v>8</v>
      </c>
      <c r="H81" s="145">
        <f t="shared" si="14"/>
        <v>9800</v>
      </c>
      <c r="I81" s="141"/>
      <c r="J81" s="141"/>
      <c r="K81" s="141"/>
      <c r="L81" s="141"/>
      <c r="M81" s="142">
        <f>+H81</f>
        <v>9800</v>
      </c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  <c r="AB81" s="6">
        <f t="shared" si="15"/>
        <v>9800</v>
      </c>
      <c r="AC81" s="6">
        <f t="shared" si="16"/>
        <v>0</v>
      </c>
      <c r="AD81" s="141" t="s">
        <v>743</v>
      </c>
    </row>
    <row r="82" spans="1:30" ht="12" customHeight="1">
      <c r="A82" s="141" t="s">
        <v>282</v>
      </c>
      <c r="B82" s="141" t="s">
        <v>285</v>
      </c>
      <c r="C82" s="141" t="s">
        <v>286</v>
      </c>
      <c r="D82" s="141">
        <v>2018.18</v>
      </c>
      <c r="E82" s="141">
        <v>22200</v>
      </c>
      <c r="F82" s="141">
        <v>20181.82</v>
      </c>
      <c r="G82" s="141" t="s">
        <v>8</v>
      </c>
      <c r="H82" s="145">
        <f t="shared" si="14"/>
        <v>22200</v>
      </c>
      <c r="I82" s="141"/>
      <c r="J82" s="142"/>
      <c r="K82" s="142">
        <f>+H82</f>
        <v>22200</v>
      </c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  <c r="AB82" s="6">
        <f t="shared" si="15"/>
        <v>22200</v>
      </c>
      <c r="AC82" s="6">
        <f t="shared" si="16"/>
        <v>0</v>
      </c>
      <c r="AD82" s="141" t="s">
        <v>743</v>
      </c>
    </row>
    <row r="83" spans="1:30" ht="12" customHeight="1">
      <c r="A83" s="141" t="s">
        <v>282</v>
      </c>
      <c r="B83" s="141" t="s">
        <v>287</v>
      </c>
      <c r="C83" s="141" t="s">
        <v>288</v>
      </c>
      <c r="D83" s="141">
        <v>4545.46</v>
      </c>
      <c r="E83" s="141">
        <v>50000</v>
      </c>
      <c r="F83" s="141">
        <v>45454.54</v>
      </c>
      <c r="G83" s="141" t="s">
        <v>8</v>
      </c>
      <c r="H83" s="145">
        <f t="shared" si="14"/>
        <v>50000</v>
      </c>
      <c r="I83" s="141"/>
      <c r="J83" s="141"/>
      <c r="K83" s="142">
        <f>+H83</f>
        <v>50000</v>
      </c>
      <c r="L83" s="141"/>
      <c r="M83" s="141"/>
      <c r="N83" s="141"/>
      <c r="O83" s="141"/>
      <c r="P83" s="141"/>
      <c r="Q83" s="141"/>
      <c r="R83" s="143"/>
      <c r="S83" s="141"/>
      <c r="T83" s="144"/>
      <c r="U83" s="141"/>
      <c r="V83" s="143"/>
      <c r="W83" s="143"/>
      <c r="X83" s="143"/>
      <c r="Y83" s="143"/>
      <c r="Z83" s="143"/>
      <c r="AA83" s="141"/>
      <c r="AB83" s="6">
        <f t="shared" si="15"/>
        <v>50000</v>
      </c>
      <c r="AC83" s="6">
        <f t="shared" si="16"/>
        <v>0</v>
      </c>
      <c r="AD83" s="141" t="s">
        <v>743</v>
      </c>
    </row>
    <row r="84" spans="1:30" ht="12" customHeight="1">
      <c r="A84" s="141" t="s">
        <v>282</v>
      </c>
      <c r="B84" s="141" t="s">
        <v>283</v>
      </c>
      <c r="C84" s="141" t="s">
        <v>284</v>
      </c>
      <c r="D84" s="141">
        <v>9090.91</v>
      </c>
      <c r="E84" s="141">
        <v>100000</v>
      </c>
      <c r="F84" s="141">
        <v>90909.09</v>
      </c>
      <c r="G84" s="141" t="s">
        <v>8</v>
      </c>
      <c r="H84" s="145">
        <f t="shared" si="14"/>
        <v>100000</v>
      </c>
      <c r="I84" s="70"/>
      <c r="J84" s="141"/>
      <c r="K84" s="141"/>
      <c r="L84" s="141"/>
      <c r="M84" s="141"/>
      <c r="N84" s="141"/>
      <c r="O84" s="141"/>
      <c r="P84" s="142">
        <f>+H84</f>
        <v>100000</v>
      </c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  <c r="AB84" s="6">
        <f t="shared" si="15"/>
        <v>100000</v>
      </c>
      <c r="AC84" s="6">
        <f t="shared" si="16"/>
        <v>0</v>
      </c>
      <c r="AD84" s="141" t="s">
        <v>743</v>
      </c>
    </row>
    <row r="85" spans="1:30" ht="12" customHeight="1">
      <c r="A85" s="141" t="s">
        <v>281</v>
      </c>
      <c r="B85" s="146" t="s">
        <v>970</v>
      </c>
      <c r="C85" s="146" t="s">
        <v>971</v>
      </c>
      <c r="D85" s="146" t="s">
        <v>972</v>
      </c>
      <c r="E85" s="84"/>
      <c r="F85" s="146">
        <v>1</v>
      </c>
      <c r="G85" s="146" t="s">
        <v>515</v>
      </c>
      <c r="H85" s="147">
        <v>1550000</v>
      </c>
      <c r="I85" s="141"/>
      <c r="J85" s="141"/>
      <c r="K85" s="143"/>
      <c r="L85" s="141"/>
      <c r="M85" s="151">
        <f>+H85</f>
        <v>1550000</v>
      </c>
      <c r="N85" s="141"/>
      <c r="O85" s="141"/>
      <c r="P85" s="143"/>
      <c r="Q85" s="143"/>
      <c r="R85" s="141"/>
      <c r="S85" s="141"/>
      <c r="T85" s="141"/>
      <c r="U85" s="141"/>
      <c r="V85" s="141"/>
      <c r="W85" s="141"/>
      <c r="X85" s="141"/>
      <c r="Y85" s="141"/>
      <c r="Z85" s="141"/>
      <c r="AA85" s="141"/>
      <c r="AB85" s="6">
        <f t="shared" si="15"/>
        <v>1550000</v>
      </c>
      <c r="AC85" s="6">
        <f t="shared" si="16"/>
        <v>0</v>
      </c>
      <c r="AD85" s="141"/>
    </row>
    <row r="86" spans="1:30" ht="12" customHeight="1">
      <c r="A86" s="141" t="s">
        <v>281</v>
      </c>
      <c r="B86" s="141" t="s">
        <v>78</v>
      </c>
      <c r="C86" s="141" t="s">
        <v>79</v>
      </c>
      <c r="D86" s="141">
        <v>9445.4500000000007</v>
      </c>
      <c r="E86" s="141">
        <v>103900</v>
      </c>
      <c r="F86" s="141">
        <v>94454.55</v>
      </c>
      <c r="G86" s="141" t="s">
        <v>8</v>
      </c>
      <c r="H86" s="145">
        <f t="shared" ref="H86:H90" si="17">+E86</f>
        <v>103900</v>
      </c>
      <c r="I86" s="142"/>
      <c r="J86" s="141"/>
      <c r="K86" s="70">
        <f>+H86</f>
        <v>103900</v>
      </c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  <c r="AB86" s="6">
        <f t="shared" si="15"/>
        <v>103900</v>
      </c>
      <c r="AC86" s="6">
        <f t="shared" si="16"/>
        <v>0</v>
      </c>
      <c r="AD86" s="141" t="s">
        <v>743</v>
      </c>
    </row>
    <row r="87" spans="1:30" ht="12" customHeight="1">
      <c r="A87" s="141" t="s">
        <v>281</v>
      </c>
      <c r="B87" s="141" t="s">
        <v>241</v>
      </c>
      <c r="C87" s="141" t="s">
        <v>242</v>
      </c>
      <c r="D87" s="141">
        <v>11200</v>
      </c>
      <c r="E87" s="141">
        <v>123200</v>
      </c>
      <c r="F87" s="141">
        <v>112000</v>
      </c>
      <c r="G87" s="141" t="s">
        <v>8</v>
      </c>
      <c r="H87" s="145">
        <f t="shared" si="17"/>
        <v>123200</v>
      </c>
      <c r="I87" s="141"/>
      <c r="J87" s="141"/>
      <c r="K87" s="141"/>
      <c r="L87" s="141"/>
      <c r="M87" s="141"/>
      <c r="N87" s="142">
        <f>+H87</f>
        <v>123200</v>
      </c>
      <c r="O87" s="141"/>
      <c r="P87" s="141"/>
      <c r="Q87" s="141"/>
      <c r="R87" s="143"/>
      <c r="S87" s="141"/>
      <c r="T87" s="144"/>
      <c r="U87" s="141"/>
      <c r="V87" s="143"/>
      <c r="W87" s="143"/>
      <c r="X87" s="143"/>
      <c r="Y87" s="143"/>
      <c r="Z87" s="143"/>
      <c r="AA87" s="141"/>
      <c r="AB87" s="6">
        <f t="shared" si="15"/>
        <v>123200</v>
      </c>
      <c r="AC87" s="6">
        <f t="shared" si="16"/>
        <v>0</v>
      </c>
      <c r="AD87" s="141" t="s">
        <v>743</v>
      </c>
    </row>
    <row r="88" spans="1:30" ht="12" customHeight="1">
      <c r="A88" s="141" t="s">
        <v>281</v>
      </c>
      <c r="B88" s="141" t="s">
        <v>241</v>
      </c>
      <c r="C88" s="141" t="s">
        <v>242</v>
      </c>
      <c r="D88" s="141">
        <v>36000</v>
      </c>
      <c r="E88" s="141">
        <v>396000</v>
      </c>
      <c r="F88" s="141">
        <v>360000</v>
      </c>
      <c r="G88" s="141" t="s">
        <v>8</v>
      </c>
      <c r="H88" s="145">
        <f t="shared" si="17"/>
        <v>396000</v>
      </c>
      <c r="I88" s="141"/>
      <c r="J88" s="141"/>
      <c r="K88" s="141"/>
      <c r="L88" s="141"/>
      <c r="M88" s="141"/>
      <c r="N88" s="142">
        <f>+H88</f>
        <v>396000</v>
      </c>
      <c r="O88" s="141"/>
      <c r="P88" s="141"/>
      <c r="Q88" s="141"/>
      <c r="R88" s="143"/>
      <c r="S88" s="141"/>
      <c r="T88" s="144"/>
      <c r="U88" s="141"/>
      <c r="V88" s="143"/>
      <c r="W88" s="143"/>
      <c r="X88" s="143"/>
      <c r="Y88" s="143"/>
      <c r="Z88" s="143"/>
      <c r="AA88" s="141"/>
      <c r="AB88" s="6">
        <f t="shared" si="15"/>
        <v>396000</v>
      </c>
      <c r="AC88" s="6">
        <f t="shared" si="16"/>
        <v>0</v>
      </c>
      <c r="AD88" s="141" t="s">
        <v>743</v>
      </c>
    </row>
    <row r="89" spans="1:30" ht="12" customHeight="1">
      <c r="A89" s="141" t="s">
        <v>281</v>
      </c>
      <c r="B89" s="141" t="s">
        <v>241</v>
      </c>
      <c r="C89" s="141" t="s">
        <v>242</v>
      </c>
      <c r="D89" s="141">
        <v>44000</v>
      </c>
      <c r="E89" s="141">
        <v>484000</v>
      </c>
      <c r="F89" s="141">
        <v>440000</v>
      </c>
      <c r="G89" s="141" t="s">
        <v>8</v>
      </c>
      <c r="H89" s="145">
        <f t="shared" si="17"/>
        <v>484000</v>
      </c>
      <c r="I89" s="70"/>
      <c r="J89" s="141"/>
      <c r="K89" s="141"/>
      <c r="L89" s="141"/>
      <c r="M89" s="141"/>
      <c r="N89" s="142">
        <f>+H89</f>
        <v>484000</v>
      </c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  <c r="AB89" s="6">
        <f t="shared" si="15"/>
        <v>484000</v>
      </c>
      <c r="AC89" s="6">
        <f t="shared" si="16"/>
        <v>0</v>
      </c>
      <c r="AD89" s="141" t="s">
        <v>743</v>
      </c>
    </row>
    <row r="90" spans="1:30" ht="12" customHeight="1">
      <c r="A90" s="141" t="s">
        <v>281</v>
      </c>
      <c r="B90" s="141" t="s">
        <v>59</v>
      </c>
      <c r="C90" s="141" t="s">
        <v>60</v>
      </c>
      <c r="D90" s="141">
        <v>0</v>
      </c>
      <c r="E90" s="141">
        <v>1748126.86</v>
      </c>
      <c r="F90" s="141">
        <v>1748126.86</v>
      </c>
      <c r="G90" s="141" t="s">
        <v>55</v>
      </c>
      <c r="H90" s="145">
        <f t="shared" si="17"/>
        <v>1748126.86</v>
      </c>
      <c r="I90" s="70"/>
      <c r="J90" s="70">
        <v>1748126.86</v>
      </c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  <c r="AB90" s="6">
        <f t="shared" si="15"/>
        <v>1748126.86</v>
      </c>
      <c r="AC90" s="6">
        <f t="shared" si="16"/>
        <v>0</v>
      </c>
      <c r="AD90" s="141" t="s">
        <v>743</v>
      </c>
    </row>
    <row r="91" spans="1:30" ht="12" customHeight="1">
      <c r="A91" s="141" t="s">
        <v>278</v>
      </c>
      <c r="B91" s="146" t="s">
        <v>953</v>
      </c>
      <c r="C91" s="146" t="s">
        <v>954</v>
      </c>
      <c r="D91" s="146" t="s">
        <v>955</v>
      </c>
      <c r="E91" s="84"/>
      <c r="F91" s="146">
        <v>1</v>
      </c>
      <c r="G91" s="146" t="s">
        <v>515</v>
      </c>
      <c r="H91" s="147">
        <v>500000</v>
      </c>
      <c r="I91" s="142">
        <f>+H91</f>
        <v>500000</v>
      </c>
      <c r="J91" s="141"/>
      <c r="K91" s="143"/>
      <c r="L91" s="141"/>
      <c r="M91" s="143"/>
      <c r="N91" s="141"/>
      <c r="O91" s="141"/>
      <c r="P91" s="143"/>
      <c r="Q91" s="143"/>
      <c r="R91" s="141"/>
      <c r="S91" s="141"/>
      <c r="T91" s="141"/>
      <c r="U91" s="141"/>
      <c r="V91" s="141"/>
      <c r="W91" s="141"/>
      <c r="X91" s="141"/>
      <c r="Y91" s="141"/>
      <c r="Z91" s="141"/>
      <c r="AA91" s="141"/>
      <c r="AB91" s="6">
        <f t="shared" si="15"/>
        <v>500000</v>
      </c>
      <c r="AC91" s="6">
        <f t="shared" si="16"/>
        <v>0</v>
      </c>
      <c r="AD91" s="141"/>
    </row>
    <row r="92" spans="1:30" ht="12" customHeight="1">
      <c r="A92" s="141" t="s">
        <v>278</v>
      </c>
      <c r="B92" s="141" t="s">
        <v>279</v>
      </c>
      <c r="C92" s="141" t="s">
        <v>280</v>
      </c>
      <c r="D92" s="141">
        <v>9090.91</v>
      </c>
      <c r="E92" s="141">
        <v>100000</v>
      </c>
      <c r="F92" s="141">
        <v>90909.09</v>
      </c>
      <c r="G92" s="141" t="s">
        <v>8</v>
      </c>
      <c r="H92" s="145">
        <f t="shared" ref="H92:H94" si="18">+E92</f>
        <v>100000</v>
      </c>
      <c r="I92" s="142"/>
      <c r="J92" s="141"/>
      <c r="K92" s="141"/>
      <c r="L92" s="141"/>
      <c r="M92" s="141"/>
      <c r="N92" s="141"/>
      <c r="O92" s="141"/>
      <c r="P92" s="142">
        <f>+H92</f>
        <v>100000</v>
      </c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  <c r="AB92" s="6">
        <f t="shared" si="15"/>
        <v>100000</v>
      </c>
      <c r="AC92" s="6">
        <f t="shared" si="16"/>
        <v>0</v>
      </c>
      <c r="AD92" s="141" t="s">
        <v>743</v>
      </c>
    </row>
    <row r="93" spans="1:30" ht="12" customHeight="1">
      <c r="A93" s="141" t="s">
        <v>278</v>
      </c>
      <c r="B93" s="141" t="s">
        <v>64</v>
      </c>
      <c r="C93" s="141" t="s">
        <v>65</v>
      </c>
      <c r="D93" s="141">
        <v>0</v>
      </c>
      <c r="E93" s="141">
        <v>154899.82999999999</v>
      </c>
      <c r="F93" s="141">
        <v>154899.82999999999</v>
      </c>
      <c r="G93" s="141" t="s">
        <v>55</v>
      </c>
      <c r="H93" s="145">
        <f t="shared" si="18"/>
        <v>154899.82999999999</v>
      </c>
      <c r="I93" s="142"/>
      <c r="J93" s="70">
        <v>154899.82999999999</v>
      </c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  <c r="AB93" s="6">
        <f t="shared" si="15"/>
        <v>154899.82999999999</v>
      </c>
      <c r="AC93" s="6">
        <f t="shared" si="16"/>
        <v>0</v>
      </c>
      <c r="AD93" s="141" t="s">
        <v>743</v>
      </c>
    </row>
    <row r="94" spans="1:30" ht="12" customHeight="1">
      <c r="A94" s="141" t="s">
        <v>278</v>
      </c>
      <c r="B94" s="141" t="s">
        <v>64</v>
      </c>
      <c r="C94" s="141" t="s">
        <v>65</v>
      </c>
      <c r="D94" s="141">
        <v>0</v>
      </c>
      <c r="E94" s="141">
        <v>8579898.7400000002</v>
      </c>
      <c r="F94" s="141">
        <v>8579898.7400000002</v>
      </c>
      <c r="G94" s="141" t="s">
        <v>55</v>
      </c>
      <c r="H94" s="145">
        <f t="shared" si="18"/>
        <v>8579898.7400000002</v>
      </c>
      <c r="I94" s="141"/>
      <c r="J94" s="70">
        <v>8579898.7400000002</v>
      </c>
      <c r="K94" s="70"/>
      <c r="L94" s="141"/>
      <c r="M94" s="70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  <c r="AB94" s="6">
        <f t="shared" si="15"/>
        <v>8579898.7400000002</v>
      </c>
      <c r="AC94" s="6">
        <f t="shared" si="16"/>
        <v>0</v>
      </c>
      <c r="AD94" s="141" t="s">
        <v>743</v>
      </c>
    </row>
    <row r="95" spans="1:30" ht="12" customHeight="1">
      <c r="A95" s="141" t="s">
        <v>275</v>
      </c>
      <c r="B95" s="146" t="s">
        <v>936</v>
      </c>
      <c r="C95" s="146" t="s">
        <v>937</v>
      </c>
      <c r="D95" s="146" t="s">
        <v>938</v>
      </c>
      <c r="E95" s="84"/>
      <c r="F95" s="146">
        <v>1</v>
      </c>
      <c r="G95" s="146" t="s">
        <v>515</v>
      </c>
      <c r="H95" s="147">
        <v>134100</v>
      </c>
      <c r="I95" s="141"/>
      <c r="J95" s="141"/>
      <c r="K95" s="143"/>
      <c r="L95" s="141"/>
      <c r="M95" s="143">
        <v>134100</v>
      </c>
      <c r="N95" s="141"/>
      <c r="O95" s="141"/>
      <c r="P95" s="143"/>
      <c r="Q95" s="143"/>
      <c r="R95" s="141"/>
      <c r="S95" s="141"/>
      <c r="T95" s="141"/>
      <c r="U95" s="141"/>
      <c r="V95" s="141"/>
      <c r="W95" s="141"/>
      <c r="X95" s="141"/>
      <c r="Y95" s="141"/>
      <c r="Z95" s="141"/>
      <c r="AA95" s="141"/>
      <c r="AB95" s="6">
        <f t="shared" si="15"/>
        <v>134100</v>
      </c>
      <c r="AC95" s="6">
        <f t="shared" si="16"/>
        <v>0</v>
      </c>
      <c r="AD95" s="141"/>
    </row>
    <row r="96" spans="1:30" ht="12" customHeight="1">
      <c r="A96" s="141" t="s">
        <v>275</v>
      </c>
      <c r="B96" s="146" t="s">
        <v>946</v>
      </c>
      <c r="C96" s="146" t="s">
        <v>947</v>
      </c>
      <c r="D96" s="146" t="s">
        <v>948</v>
      </c>
      <c r="E96" s="84"/>
      <c r="F96" s="146">
        <v>1</v>
      </c>
      <c r="G96" s="146" t="s">
        <v>515</v>
      </c>
      <c r="H96" s="147">
        <v>285600</v>
      </c>
      <c r="I96" s="141"/>
      <c r="J96" s="141"/>
      <c r="K96" s="143">
        <v>285600</v>
      </c>
      <c r="L96" s="141"/>
      <c r="M96" s="143"/>
      <c r="N96" s="141"/>
      <c r="O96" s="141"/>
      <c r="P96" s="143"/>
      <c r="Q96" s="143"/>
      <c r="R96" s="141"/>
      <c r="S96" s="141"/>
      <c r="T96" s="141"/>
      <c r="U96" s="141"/>
      <c r="V96" s="141"/>
      <c r="W96" s="141"/>
      <c r="X96" s="141"/>
      <c r="Y96" s="141"/>
      <c r="Z96" s="141"/>
      <c r="AA96" s="141"/>
      <c r="AB96" s="6">
        <f t="shared" si="15"/>
        <v>285600</v>
      </c>
      <c r="AC96" s="6">
        <f t="shared" si="16"/>
        <v>0</v>
      </c>
      <c r="AD96" s="141"/>
    </row>
    <row r="97" spans="1:30" ht="12" customHeight="1">
      <c r="A97" s="141" t="s">
        <v>275</v>
      </c>
      <c r="B97" s="146" t="s">
        <v>949</v>
      </c>
      <c r="C97" s="146" t="s">
        <v>950</v>
      </c>
      <c r="D97" s="146" t="s">
        <v>951</v>
      </c>
      <c r="E97" s="84"/>
      <c r="F97" s="146">
        <v>1</v>
      </c>
      <c r="G97" s="146" t="s">
        <v>515</v>
      </c>
      <c r="H97" s="147">
        <v>287500</v>
      </c>
      <c r="I97" s="141"/>
      <c r="J97" s="141"/>
      <c r="K97" s="143">
        <v>287500</v>
      </c>
      <c r="L97" s="141"/>
      <c r="M97" s="143"/>
      <c r="N97" s="141"/>
      <c r="O97" s="141"/>
      <c r="P97" s="143"/>
      <c r="Q97" s="143"/>
      <c r="R97" s="141"/>
      <c r="S97" s="141"/>
      <c r="T97" s="141"/>
      <c r="U97" s="141"/>
      <c r="V97" s="141"/>
      <c r="W97" s="141"/>
      <c r="X97" s="141"/>
      <c r="Y97" s="141"/>
      <c r="Z97" s="141"/>
      <c r="AA97" s="141"/>
      <c r="AB97" s="6">
        <f t="shared" si="15"/>
        <v>287500</v>
      </c>
      <c r="AC97" s="6">
        <f t="shared" si="16"/>
        <v>0</v>
      </c>
      <c r="AD97" s="141"/>
    </row>
    <row r="98" spans="1:30" ht="12" customHeight="1">
      <c r="A98" s="141" t="s">
        <v>275</v>
      </c>
      <c r="B98" s="146" t="s">
        <v>952</v>
      </c>
      <c r="C98" s="146" t="s">
        <v>914</v>
      </c>
      <c r="D98" s="146" t="s">
        <v>915</v>
      </c>
      <c r="E98" s="146">
        <v>1</v>
      </c>
      <c r="F98" s="84"/>
      <c r="G98" s="146" t="s">
        <v>515</v>
      </c>
      <c r="H98" s="147">
        <v>411250</v>
      </c>
      <c r="I98" s="141"/>
      <c r="J98" s="141"/>
      <c r="K98" s="143">
        <v>411250</v>
      </c>
      <c r="L98" s="141"/>
      <c r="M98" s="143"/>
      <c r="N98" s="141"/>
      <c r="O98" s="141"/>
      <c r="P98" s="143"/>
      <c r="Q98" s="143"/>
      <c r="R98" s="141"/>
      <c r="S98" s="141"/>
      <c r="T98" s="141"/>
      <c r="U98" s="141"/>
      <c r="V98" s="141"/>
      <c r="W98" s="141"/>
      <c r="X98" s="141"/>
      <c r="Y98" s="141"/>
      <c r="Z98" s="141"/>
      <c r="AA98" s="141"/>
      <c r="AB98" s="6">
        <f t="shared" si="15"/>
        <v>411250</v>
      </c>
      <c r="AC98" s="6">
        <f t="shared" si="16"/>
        <v>0</v>
      </c>
      <c r="AD98" s="141"/>
    </row>
    <row r="99" spans="1:30" ht="12" customHeight="1">
      <c r="A99" s="141" t="s">
        <v>275</v>
      </c>
      <c r="B99" s="149" t="s">
        <v>956</v>
      </c>
      <c r="C99" s="149" t="s">
        <v>930</v>
      </c>
      <c r="D99" s="149" t="s">
        <v>931</v>
      </c>
      <c r="E99" s="84"/>
      <c r="F99" s="149">
        <v>1</v>
      </c>
      <c r="G99" s="149" t="s">
        <v>515</v>
      </c>
      <c r="H99" s="145">
        <v>500000</v>
      </c>
      <c r="I99" s="142">
        <f>+H99</f>
        <v>500000</v>
      </c>
      <c r="J99" s="141"/>
      <c r="K99" s="143"/>
      <c r="L99" s="141"/>
      <c r="M99" s="143"/>
      <c r="N99" s="141"/>
      <c r="O99" s="141"/>
      <c r="P99" s="143"/>
      <c r="Q99" s="143"/>
      <c r="R99" s="143"/>
      <c r="S99" s="141"/>
      <c r="T99" s="144"/>
      <c r="U99" s="141"/>
      <c r="V99" s="143"/>
      <c r="W99" s="143"/>
      <c r="X99" s="143"/>
      <c r="Y99" s="143"/>
      <c r="Z99" s="143"/>
      <c r="AA99" s="141"/>
      <c r="AB99" s="6">
        <f t="shared" si="15"/>
        <v>500000</v>
      </c>
      <c r="AC99" s="6">
        <f t="shared" si="16"/>
        <v>0</v>
      </c>
      <c r="AD99" s="141"/>
    </row>
    <row r="100" spans="1:30" ht="12" customHeight="1">
      <c r="A100" s="141" t="s">
        <v>275</v>
      </c>
      <c r="B100" s="146" t="s">
        <v>960</v>
      </c>
      <c r="C100" s="146" t="s">
        <v>961</v>
      </c>
      <c r="D100" s="146" t="s">
        <v>962</v>
      </c>
      <c r="E100" s="84"/>
      <c r="F100" s="146">
        <v>1</v>
      </c>
      <c r="G100" s="146" t="s">
        <v>515</v>
      </c>
      <c r="H100" s="147">
        <v>572000</v>
      </c>
      <c r="I100" s="141"/>
      <c r="J100" s="141"/>
      <c r="K100" s="143"/>
      <c r="L100" s="141"/>
      <c r="M100" s="143"/>
      <c r="N100" s="141"/>
      <c r="O100" s="141">
        <v>572000</v>
      </c>
      <c r="P100" s="143"/>
      <c r="Q100" s="143"/>
      <c r="R100" s="143"/>
      <c r="S100" s="141"/>
      <c r="T100" s="144"/>
      <c r="U100" s="143"/>
      <c r="V100" s="143"/>
      <c r="W100" s="143"/>
      <c r="X100" s="143"/>
      <c r="Y100" s="143"/>
      <c r="Z100" s="143"/>
      <c r="AA100" s="141"/>
      <c r="AB100" s="6">
        <f t="shared" si="15"/>
        <v>572000</v>
      </c>
      <c r="AC100" s="6">
        <f t="shared" si="16"/>
        <v>0</v>
      </c>
      <c r="AD100" s="141"/>
    </row>
    <row r="101" spans="1:30" ht="12" customHeight="1">
      <c r="A101" s="141" t="s">
        <v>275</v>
      </c>
      <c r="B101" s="149" t="s">
        <v>965</v>
      </c>
      <c r="C101" s="149" t="s">
        <v>930</v>
      </c>
      <c r="D101" s="149" t="s">
        <v>931</v>
      </c>
      <c r="E101" s="84"/>
      <c r="F101" s="149">
        <v>1</v>
      </c>
      <c r="G101" s="149" t="s">
        <v>515</v>
      </c>
      <c r="H101" s="145">
        <v>500000</v>
      </c>
      <c r="I101" s="142">
        <f>+H101</f>
        <v>500000</v>
      </c>
      <c r="J101" s="141"/>
      <c r="K101" s="143"/>
      <c r="L101" s="141"/>
      <c r="M101" s="143"/>
      <c r="N101" s="141"/>
      <c r="O101" s="141"/>
      <c r="P101" s="143"/>
      <c r="Q101" s="143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  <c r="AB101" s="6">
        <f t="shared" si="15"/>
        <v>500000</v>
      </c>
      <c r="AC101" s="6">
        <f t="shared" si="16"/>
        <v>0</v>
      </c>
      <c r="AD101" s="141"/>
    </row>
    <row r="102" spans="1:30" ht="12" customHeight="1">
      <c r="A102" s="141" t="s">
        <v>275</v>
      </c>
      <c r="B102" s="146" t="s">
        <v>973</v>
      </c>
      <c r="C102" s="146" t="s">
        <v>974</v>
      </c>
      <c r="D102" s="146" t="s">
        <v>975</v>
      </c>
      <c r="E102" s="84"/>
      <c r="F102" s="146">
        <v>1</v>
      </c>
      <c r="G102" s="146" t="s">
        <v>515</v>
      </c>
      <c r="H102" s="147">
        <v>1606000</v>
      </c>
      <c r="I102" s="141"/>
      <c r="J102" s="141"/>
      <c r="K102" s="143"/>
      <c r="L102" s="141"/>
      <c r="M102" s="143"/>
      <c r="N102" s="141">
        <v>1606000</v>
      </c>
      <c r="O102" s="141"/>
      <c r="P102" s="143"/>
      <c r="Q102" s="143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  <c r="AB102" s="6">
        <f t="shared" ref="AB102:AB133" si="19">SUM(I102:AA102)</f>
        <v>1606000</v>
      </c>
      <c r="AC102" s="6">
        <f t="shared" ref="AC102:AC133" si="20">+AB102-H102</f>
        <v>0</v>
      </c>
      <c r="AD102" s="141"/>
    </row>
    <row r="103" spans="1:30" ht="12" customHeight="1">
      <c r="A103" s="141" t="s">
        <v>275</v>
      </c>
      <c r="B103" s="141" t="s">
        <v>276</v>
      </c>
      <c r="C103" s="141" t="s">
        <v>277</v>
      </c>
      <c r="D103" s="141">
        <v>15000</v>
      </c>
      <c r="E103" s="141">
        <v>165000</v>
      </c>
      <c r="F103" s="141">
        <v>150000</v>
      </c>
      <c r="G103" s="141" t="s">
        <v>8</v>
      </c>
      <c r="H103" s="145">
        <f t="shared" ref="H103:H105" si="21">+E103</f>
        <v>165000</v>
      </c>
      <c r="I103" s="141"/>
      <c r="J103" s="141"/>
      <c r="K103" s="141"/>
      <c r="L103" s="141"/>
      <c r="M103" s="141"/>
      <c r="N103" s="141"/>
      <c r="O103" s="142">
        <f>+H103</f>
        <v>165000</v>
      </c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  <c r="AB103" s="6">
        <f t="shared" si="19"/>
        <v>165000</v>
      </c>
      <c r="AC103" s="6">
        <f t="shared" si="20"/>
        <v>0</v>
      </c>
      <c r="AD103" s="141" t="s">
        <v>743</v>
      </c>
    </row>
    <row r="104" spans="1:30" ht="12" customHeight="1">
      <c r="A104" s="141" t="s">
        <v>275</v>
      </c>
      <c r="B104" s="141" t="s">
        <v>190</v>
      </c>
      <c r="C104" s="141" t="s">
        <v>191</v>
      </c>
      <c r="D104" s="141">
        <v>52000</v>
      </c>
      <c r="E104" s="141">
        <v>572000</v>
      </c>
      <c r="F104" s="141">
        <v>520000</v>
      </c>
      <c r="G104" s="141" t="s">
        <v>8</v>
      </c>
      <c r="H104" s="145">
        <f t="shared" si="21"/>
        <v>572000</v>
      </c>
      <c r="I104" s="70"/>
      <c r="J104" s="141"/>
      <c r="K104" s="141"/>
      <c r="L104" s="141"/>
      <c r="M104" s="70"/>
      <c r="N104" s="141"/>
      <c r="O104" s="142">
        <f>+H104</f>
        <v>572000</v>
      </c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6">
        <f t="shared" si="19"/>
        <v>572000</v>
      </c>
      <c r="AC104" s="6">
        <f t="shared" si="20"/>
        <v>0</v>
      </c>
      <c r="AD104" s="141" t="s">
        <v>743</v>
      </c>
    </row>
    <row r="105" spans="1:30" ht="12" customHeight="1">
      <c r="A105" s="141" t="s">
        <v>275</v>
      </c>
      <c r="B105" s="141" t="s">
        <v>243</v>
      </c>
      <c r="C105" s="141" t="s">
        <v>244</v>
      </c>
      <c r="D105" s="141">
        <v>146000</v>
      </c>
      <c r="E105" s="141">
        <v>1606000</v>
      </c>
      <c r="F105" s="141">
        <v>1460000</v>
      </c>
      <c r="G105" s="141" t="s">
        <v>8</v>
      </c>
      <c r="H105" s="145">
        <f t="shared" si="21"/>
        <v>1606000</v>
      </c>
      <c r="I105" s="141"/>
      <c r="J105" s="141"/>
      <c r="K105" s="141"/>
      <c r="L105" s="141"/>
      <c r="M105" s="141"/>
      <c r="N105" s="141"/>
      <c r="O105" s="142">
        <f>+H105</f>
        <v>1606000</v>
      </c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  <c r="AB105" s="6">
        <f t="shared" si="19"/>
        <v>1606000</v>
      </c>
      <c r="AC105" s="6">
        <f t="shared" si="20"/>
        <v>0</v>
      </c>
      <c r="AD105" s="141" t="s">
        <v>743</v>
      </c>
    </row>
    <row r="106" spans="1:30" ht="12" customHeight="1">
      <c r="A106" s="141" t="s">
        <v>268</v>
      </c>
      <c r="B106" s="146" t="s">
        <v>913</v>
      </c>
      <c r="C106" s="146" t="s">
        <v>914</v>
      </c>
      <c r="D106" s="146" t="s">
        <v>915</v>
      </c>
      <c r="E106" s="84"/>
      <c r="F106" s="146">
        <v>1</v>
      </c>
      <c r="G106" s="146" t="s">
        <v>515</v>
      </c>
      <c r="H106" s="147">
        <v>24000</v>
      </c>
      <c r="I106" s="142">
        <f>+H106</f>
        <v>24000</v>
      </c>
      <c r="J106" s="141"/>
      <c r="K106" s="143"/>
      <c r="L106" s="141"/>
      <c r="M106" s="143"/>
      <c r="N106" s="141"/>
      <c r="O106" s="141"/>
      <c r="P106" s="143"/>
      <c r="Q106" s="143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  <c r="AB106" s="6">
        <f t="shared" si="19"/>
        <v>24000</v>
      </c>
      <c r="AC106" s="6">
        <f t="shared" si="20"/>
        <v>0</v>
      </c>
      <c r="AD106" s="141"/>
    </row>
    <row r="107" spans="1:30" ht="12" customHeight="1">
      <c r="A107" s="141" t="s">
        <v>268</v>
      </c>
      <c r="B107" s="155" t="s">
        <v>744</v>
      </c>
      <c r="C107" s="146" t="s">
        <v>922</v>
      </c>
      <c r="D107" s="146" t="s">
        <v>923</v>
      </c>
      <c r="E107" s="84"/>
      <c r="F107" s="146">
        <v>1</v>
      </c>
      <c r="G107" s="146" t="s">
        <v>515</v>
      </c>
      <c r="H107" s="147">
        <v>76486</v>
      </c>
      <c r="I107" s="142">
        <f>+H107</f>
        <v>76486</v>
      </c>
      <c r="J107" s="141"/>
      <c r="K107" s="143"/>
      <c r="L107" s="141"/>
      <c r="M107" s="143"/>
      <c r="N107" s="141"/>
      <c r="O107" s="141"/>
      <c r="P107" s="143"/>
      <c r="Q107" s="143"/>
      <c r="R107" s="143"/>
      <c r="S107" s="141"/>
      <c r="T107" s="144"/>
      <c r="U107" s="141"/>
      <c r="V107" s="143"/>
      <c r="W107" s="143"/>
      <c r="X107" s="143"/>
      <c r="Y107" s="143"/>
      <c r="Z107" s="143"/>
      <c r="AA107" s="141"/>
      <c r="AB107" s="6">
        <f t="shared" si="19"/>
        <v>76486</v>
      </c>
      <c r="AC107" s="6">
        <f t="shared" si="20"/>
        <v>0</v>
      </c>
      <c r="AD107" s="141"/>
    </row>
    <row r="108" spans="1:30" ht="12" customHeight="1">
      <c r="A108" s="141" t="s">
        <v>268</v>
      </c>
      <c r="B108" s="141" t="s">
        <v>156</v>
      </c>
      <c r="C108" s="141" t="s">
        <v>157</v>
      </c>
      <c r="D108" s="141">
        <v>6981.82</v>
      </c>
      <c r="E108" s="141">
        <v>76800</v>
      </c>
      <c r="F108" s="141">
        <v>69818.179999999993</v>
      </c>
      <c r="G108" s="141" t="s">
        <v>8</v>
      </c>
      <c r="H108" s="145">
        <f t="shared" ref="H108:H113" si="22">+E108</f>
        <v>76800</v>
      </c>
      <c r="I108" s="141"/>
      <c r="J108" s="141"/>
      <c r="K108" s="141"/>
      <c r="L108" s="141"/>
      <c r="M108" s="141"/>
      <c r="N108" s="141"/>
      <c r="O108" s="141"/>
      <c r="P108" s="142">
        <f>+H108</f>
        <v>76800</v>
      </c>
      <c r="Q108" s="141"/>
      <c r="R108" s="143"/>
      <c r="S108" s="141"/>
      <c r="T108" s="144"/>
      <c r="U108" s="141"/>
      <c r="V108" s="143"/>
      <c r="W108" s="143"/>
      <c r="X108" s="143"/>
      <c r="Y108" s="143"/>
      <c r="Z108" s="143"/>
      <c r="AA108" s="141"/>
      <c r="AB108" s="6">
        <f t="shared" si="19"/>
        <v>76800</v>
      </c>
      <c r="AC108" s="6">
        <f t="shared" si="20"/>
        <v>0</v>
      </c>
      <c r="AD108" s="141" t="s">
        <v>743</v>
      </c>
    </row>
    <row r="109" spans="1:30" ht="12" customHeight="1">
      <c r="A109" s="141" t="s">
        <v>268</v>
      </c>
      <c r="B109" s="141" t="s">
        <v>269</v>
      </c>
      <c r="C109" s="141" t="s">
        <v>270</v>
      </c>
      <c r="D109" s="141">
        <v>13473.21</v>
      </c>
      <c r="E109" s="141">
        <v>150900</v>
      </c>
      <c r="F109" s="141">
        <v>137426.79</v>
      </c>
      <c r="G109" s="141" t="s">
        <v>8</v>
      </c>
      <c r="H109" s="145">
        <f t="shared" si="22"/>
        <v>150900</v>
      </c>
      <c r="I109" s="141"/>
      <c r="J109" s="142"/>
      <c r="K109" s="141"/>
      <c r="L109" s="141"/>
      <c r="M109" s="141"/>
      <c r="N109" s="141"/>
      <c r="O109" s="142">
        <f>+H109</f>
        <v>150900</v>
      </c>
      <c r="P109" s="141"/>
      <c r="Q109" s="70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  <c r="AB109" s="6">
        <f t="shared" si="19"/>
        <v>150900</v>
      </c>
      <c r="AC109" s="6">
        <f t="shared" si="20"/>
        <v>0</v>
      </c>
      <c r="AD109" s="141" t="s">
        <v>743</v>
      </c>
    </row>
    <row r="110" spans="1:30" ht="12" customHeight="1">
      <c r="A110" s="141" t="s">
        <v>268</v>
      </c>
      <c r="B110" s="141" t="s">
        <v>10</v>
      </c>
      <c r="C110" s="141" t="s">
        <v>11</v>
      </c>
      <c r="D110" s="141">
        <v>14121.91</v>
      </c>
      <c r="E110" s="141">
        <v>155341</v>
      </c>
      <c r="F110" s="141">
        <v>141219.09</v>
      </c>
      <c r="G110" s="141" t="s">
        <v>8</v>
      </c>
      <c r="H110" s="145">
        <f t="shared" si="22"/>
        <v>155341</v>
      </c>
      <c r="I110" s="142"/>
      <c r="J110" s="141"/>
      <c r="K110" s="141"/>
      <c r="L110" s="141"/>
      <c r="M110" s="141"/>
      <c r="N110" s="141"/>
      <c r="O110" s="141"/>
      <c r="P110" s="142">
        <f>+H110</f>
        <v>155341</v>
      </c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6">
        <f t="shared" si="19"/>
        <v>155341</v>
      </c>
      <c r="AC110" s="6">
        <f t="shared" si="20"/>
        <v>0</v>
      </c>
      <c r="AD110" s="141" t="s">
        <v>743</v>
      </c>
    </row>
    <row r="111" spans="1:30" ht="12" customHeight="1">
      <c r="A111" s="141" t="s">
        <v>268</v>
      </c>
      <c r="B111" s="141" t="s">
        <v>271</v>
      </c>
      <c r="C111" s="141" t="s">
        <v>272</v>
      </c>
      <c r="D111" s="141">
        <v>29090.909091000001</v>
      </c>
      <c r="E111" s="141">
        <v>320000</v>
      </c>
      <c r="F111" s="141">
        <v>290909.09090900002</v>
      </c>
      <c r="G111" s="141" t="s">
        <v>8</v>
      </c>
      <c r="H111" s="145">
        <f t="shared" si="22"/>
        <v>320000</v>
      </c>
      <c r="I111" s="141"/>
      <c r="J111" s="141"/>
      <c r="K111" s="141"/>
      <c r="L111" s="141"/>
      <c r="M111" s="70"/>
      <c r="N111" s="141"/>
      <c r="O111" s="70">
        <f>+H111</f>
        <v>320000</v>
      </c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  <c r="AB111" s="6">
        <f t="shared" si="19"/>
        <v>320000</v>
      </c>
      <c r="AC111" s="6">
        <f t="shared" si="20"/>
        <v>0</v>
      </c>
      <c r="AD111" s="141" t="s">
        <v>743</v>
      </c>
    </row>
    <row r="112" spans="1:30" ht="12" customHeight="1">
      <c r="A112" s="141" t="s">
        <v>268</v>
      </c>
      <c r="B112" s="141" t="s">
        <v>178</v>
      </c>
      <c r="C112" s="141" t="s">
        <v>179</v>
      </c>
      <c r="D112" s="141">
        <v>283181.82</v>
      </c>
      <c r="E112" s="141">
        <v>3115000</v>
      </c>
      <c r="F112" s="141">
        <v>2831818.18</v>
      </c>
      <c r="G112" s="141" t="s">
        <v>8</v>
      </c>
      <c r="H112" s="145">
        <f t="shared" si="22"/>
        <v>3115000</v>
      </c>
      <c r="I112" s="70"/>
      <c r="J112" s="141"/>
      <c r="K112" s="141"/>
      <c r="L112" s="141"/>
      <c r="M112" s="142"/>
      <c r="N112" s="141"/>
      <c r="O112" s="141"/>
      <c r="P112" s="141"/>
      <c r="Q112" s="70">
        <f>+H112</f>
        <v>3115000</v>
      </c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  <c r="AB112" s="6">
        <f t="shared" si="19"/>
        <v>3115000</v>
      </c>
      <c r="AC112" s="6">
        <f t="shared" si="20"/>
        <v>0</v>
      </c>
      <c r="AD112" s="141" t="s">
        <v>743</v>
      </c>
    </row>
    <row r="113" spans="1:30" ht="12" customHeight="1">
      <c r="A113" s="141" t="s">
        <v>268</v>
      </c>
      <c r="B113" s="141" t="s">
        <v>273</v>
      </c>
      <c r="C113" s="141" t="s">
        <v>274</v>
      </c>
      <c r="D113" s="141">
        <v>404536.36363600002</v>
      </c>
      <c r="E113" s="141">
        <v>4449900</v>
      </c>
      <c r="F113" s="141">
        <v>4045363.6363639999</v>
      </c>
      <c r="G113" s="141" t="s">
        <v>8</v>
      </c>
      <c r="H113" s="145">
        <f t="shared" si="22"/>
        <v>4449900</v>
      </c>
      <c r="I113" s="142"/>
      <c r="J113" s="141"/>
      <c r="K113" s="141"/>
      <c r="L113" s="141"/>
      <c r="M113" s="70">
        <f>+H113</f>
        <v>4449900</v>
      </c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  <c r="AB113" s="6">
        <f t="shared" si="19"/>
        <v>4449900</v>
      </c>
      <c r="AC113" s="6">
        <f t="shared" si="20"/>
        <v>0</v>
      </c>
      <c r="AD113" s="141" t="s">
        <v>743</v>
      </c>
    </row>
    <row r="114" spans="1:30" ht="12" customHeight="1">
      <c r="A114" s="141" t="s">
        <v>263</v>
      </c>
      <c r="B114" s="146" t="s">
        <v>910</v>
      </c>
      <c r="C114" s="146" t="s">
        <v>911</v>
      </c>
      <c r="D114" s="146" t="s">
        <v>912</v>
      </c>
      <c r="E114" s="84"/>
      <c r="F114" s="146">
        <v>1</v>
      </c>
      <c r="G114" s="146" t="s">
        <v>515</v>
      </c>
      <c r="H114" s="147">
        <v>12000</v>
      </c>
      <c r="I114" s="141"/>
      <c r="J114" s="141"/>
      <c r="K114" s="143"/>
      <c r="L114" s="141"/>
      <c r="M114" s="143">
        <v>12000</v>
      </c>
      <c r="N114" s="141"/>
      <c r="O114" s="141"/>
      <c r="P114" s="143"/>
      <c r="Q114" s="143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6">
        <f t="shared" si="19"/>
        <v>12000</v>
      </c>
      <c r="AC114" s="6">
        <f t="shared" si="20"/>
        <v>0</v>
      </c>
      <c r="AD114" s="141"/>
    </row>
    <row r="115" spans="1:30" ht="12" customHeight="1">
      <c r="A115" s="141" t="s">
        <v>263</v>
      </c>
      <c r="B115" s="146" t="s">
        <v>924</v>
      </c>
      <c r="C115" s="146" t="s">
        <v>925</v>
      </c>
      <c r="D115" s="146" t="s">
        <v>926</v>
      </c>
      <c r="E115" s="84"/>
      <c r="F115" s="146">
        <v>1</v>
      </c>
      <c r="G115" s="146" t="s">
        <v>515</v>
      </c>
      <c r="H115" s="147">
        <v>80000</v>
      </c>
      <c r="I115" s="141"/>
      <c r="J115" s="141"/>
      <c r="K115" s="143"/>
      <c r="L115" s="141"/>
      <c r="M115" s="143"/>
      <c r="N115" s="141"/>
      <c r="O115" s="141">
        <v>80000</v>
      </c>
      <c r="P115" s="143"/>
      <c r="Q115" s="143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  <c r="AB115" s="6">
        <f t="shared" si="19"/>
        <v>80000</v>
      </c>
      <c r="AC115" s="6">
        <f t="shared" si="20"/>
        <v>0</v>
      </c>
      <c r="AD115" s="141"/>
    </row>
    <row r="116" spans="1:30" ht="12" customHeight="1">
      <c r="A116" s="141" t="s">
        <v>263</v>
      </c>
      <c r="B116" s="141" t="s">
        <v>156</v>
      </c>
      <c r="C116" s="141" t="s">
        <v>157</v>
      </c>
      <c r="D116" s="141">
        <v>5454.55</v>
      </c>
      <c r="E116" s="141">
        <v>60000</v>
      </c>
      <c r="F116" s="141">
        <v>54545.45</v>
      </c>
      <c r="G116" s="141" t="s">
        <v>8</v>
      </c>
      <c r="H116" s="145">
        <f t="shared" ref="H116:H118" si="23">+E116</f>
        <v>60000</v>
      </c>
      <c r="I116" s="141"/>
      <c r="J116" s="141"/>
      <c r="K116" s="141"/>
      <c r="L116" s="141"/>
      <c r="M116" s="141"/>
      <c r="N116" s="142"/>
      <c r="O116" s="141"/>
      <c r="P116" s="142">
        <f>+H116</f>
        <v>60000</v>
      </c>
      <c r="Q116" s="141"/>
      <c r="R116" s="143"/>
      <c r="S116" s="141"/>
      <c r="T116" s="144"/>
      <c r="U116" s="141"/>
      <c r="V116" s="143"/>
      <c r="W116" s="143"/>
      <c r="X116" s="143"/>
      <c r="Y116" s="143"/>
      <c r="Z116" s="143"/>
      <c r="AA116" s="141"/>
      <c r="AB116" s="6">
        <f t="shared" si="19"/>
        <v>60000</v>
      </c>
      <c r="AC116" s="6">
        <f t="shared" si="20"/>
        <v>0</v>
      </c>
      <c r="AD116" s="141" t="s">
        <v>743</v>
      </c>
    </row>
    <row r="117" spans="1:30" ht="12" customHeight="1">
      <c r="A117" s="141" t="s">
        <v>263</v>
      </c>
      <c r="B117" s="141" t="s">
        <v>264</v>
      </c>
      <c r="C117" s="141" t="s">
        <v>265</v>
      </c>
      <c r="D117" s="141">
        <v>16284.090909</v>
      </c>
      <c r="E117" s="141">
        <v>179125</v>
      </c>
      <c r="F117" s="141">
        <v>162840.90909100001</v>
      </c>
      <c r="G117" s="141" t="s">
        <v>8</v>
      </c>
      <c r="H117" s="145">
        <f t="shared" si="23"/>
        <v>179125</v>
      </c>
      <c r="I117" s="70"/>
      <c r="J117" s="141"/>
      <c r="K117" s="141"/>
      <c r="L117" s="141"/>
      <c r="M117" s="141"/>
      <c r="N117" s="141"/>
      <c r="O117" s="141"/>
      <c r="P117" s="70">
        <f>+H117</f>
        <v>179125</v>
      </c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  <c r="AB117" s="6">
        <f t="shared" si="19"/>
        <v>179125</v>
      </c>
      <c r="AC117" s="6">
        <f t="shared" si="20"/>
        <v>0</v>
      </c>
      <c r="AD117" s="141" t="s">
        <v>743</v>
      </c>
    </row>
    <row r="118" spans="1:30" ht="12" customHeight="1">
      <c r="A118" s="141" t="s">
        <v>263</v>
      </c>
      <c r="B118" s="141" t="s">
        <v>266</v>
      </c>
      <c r="C118" s="141" t="s">
        <v>267</v>
      </c>
      <c r="D118" s="141">
        <v>84500</v>
      </c>
      <c r="E118" s="141">
        <v>929500</v>
      </c>
      <c r="F118" s="141">
        <v>845000</v>
      </c>
      <c r="G118" s="141" t="s">
        <v>8</v>
      </c>
      <c r="H118" s="145">
        <f t="shared" si="23"/>
        <v>929500</v>
      </c>
      <c r="I118" s="141"/>
      <c r="J118" s="142"/>
      <c r="K118" s="141"/>
      <c r="L118" s="141"/>
      <c r="M118" s="141"/>
      <c r="N118" s="141"/>
      <c r="O118" s="142">
        <f>+H118</f>
        <v>929500</v>
      </c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  <c r="AB118" s="6">
        <f t="shared" si="19"/>
        <v>929500</v>
      </c>
      <c r="AC118" s="6">
        <f t="shared" si="20"/>
        <v>0</v>
      </c>
      <c r="AD118" s="141" t="s">
        <v>743</v>
      </c>
    </row>
    <row r="119" spans="1:30" ht="12" customHeight="1">
      <c r="A119" s="141" t="s">
        <v>1164</v>
      </c>
      <c r="B119" s="146" t="s">
        <v>916</v>
      </c>
      <c r="C119" s="146" t="s">
        <v>917</v>
      </c>
      <c r="D119" s="146" t="s">
        <v>918</v>
      </c>
      <c r="E119" s="84"/>
      <c r="F119" s="146">
        <v>1</v>
      </c>
      <c r="G119" s="146" t="s">
        <v>515</v>
      </c>
      <c r="H119" s="147">
        <v>30000</v>
      </c>
      <c r="I119" s="141"/>
      <c r="J119" s="141"/>
      <c r="K119" s="143"/>
      <c r="L119" s="141"/>
      <c r="M119" s="143">
        <v>30000</v>
      </c>
      <c r="N119" s="141"/>
      <c r="O119" s="141"/>
      <c r="P119" s="143"/>
      <c r="Q119" s="143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  <c r="AB119" s="6">
        <f t="shared" si="19"/>
        <v>30000</v>
      </c>
      <c r="AC119" s="6">
        <f t="shared" si="20"/>
        <v>0</v>
      </c>
      <c r="AD119" s="141"/>
    </row>
    <row r="120" spans="1:30" ht="12" customHeight="1">
      <c r="A120" s="141" t="s">
        <v>1165</v>
      </c>
      <c r="B120" s="146" t="s">
        <v>976</v>
      </c>
      <c r="C120" s="146" t="s">
        <v>977</v>
      </c>
      <c r="D120" s="146" t="s">
        <v>978</v>
      </c>
      <c r="E120" s="84"/>
      <c r="F120" s="146">
        <v>1</v>
      </c>
      <c r="G120" s="146" t="s">
        <v>515</v>
      </c>
      <c r="H120" s="147">
        <v>2000000</v>
      </c>
      <c r="I120" s="141"/>
      <c r="J120" s="141"/>
      <c r="K120" s="143"/>
      <c r="L120" s="141"/>
      <c r="M120" s="143"/>
      <c r="N120" s="141"/>
      <c r="O120" s="141">
        <v>2000000</v>
      </c>
      <c r="P120" s="143"/>
      <c r="Q120" s="143"/>
      <c r="R120" s="143"/>
      <c r="S120" s="141"/>
      <c r="T120" s="144"/>
      <c r="U120" s="141"/>
      <c r="V120" s="143"/>
      <c r="W120" s="143"/>
      <c r="X120" s="143"/>
      <c r="Y120" s="143"/>
      <c r="Z120" s="143"/>
      <c r="AA120" s="141"/>
      <c r="AB120" s="6">
        <f t="shared" si="19"/>
        <v>2000000</v>
      </c>
      <c r="AC120" s="6">
        <f t="shared" si="20"/>
        <v>0</v>
      </c>
      <c r="AD120" s="141"/>
    </row>
    <row r="121" spans="1:30" ht="12" customHeight="1">
      <c r="A121" s="141" t="s">
        <v>1165</v>
      </c>
      <c r="B121" s="146" t="s">
        <v>976</v>
      </c>
      <c r="C121" s="146" t="s">
        <v>977</v>
      </c>
      <c r="D121" s="146" t="s">
        <v>978</v>
      </c>
      <c r="E121" s="84"/>
      <c r="F121" s="146">
        <v>1</v>
      </c>
      <c r="G121" s="146" t="s">
        <v>515</v>
      </c>
      <c r="H121" s="147">
        <v>4232000</v>
      </c>
      <c r="I121" s="141"/>
      <c r="J121" s="141"/>
      <c r="K121" s="143"/>
      <c r="L121" s="141"/>
      <c r="M121" s="143"/>
      <c r="N121" s="141"/>
      <c r="O121" s="141">
        <v>4232000</v>
      </c>
      <c r="P121" s="143"/>
      <c r="Q121" s="143"/>
      <c r="R121" s="143"/>
      <c r="S121" s="141"/>
      <c r="T121" s="144"/>
      <c r="U121" s="143"/>
      <c r="V121" s="143"/>
      <c r="W121" s="143"/>
      <c r="X121" s="143"/>
      <c r="Y121" s="143"/>
      <c r="Z121" s="143"/>
      <c r="AA121" s="141"/>
      <c r="AB121" s="6">
        <f t="shared" si="19"/>
        <v>4232000</v>
      </c>
      <c r="AC121" s="6">
        <f t="shared" si="20"/>
        <v>0</v>
      </c>
      <c r="AD121" s="141"/>
    </row>
    <row r="122" spans="1:30" ht="12" customHeight="1">
      <c r="A122" s="141" t="s">
        <v>260</v>
      </c>
      <c r="B122" s="141" t="s">
        <v>116</v>
      </c>
      <c r="C122" s="141" t="s">
        <v>117</v>
      </c>
      <c r="D122" s="141">
        <v>0</v>
      </c>
      <c r="E122" s="141">
        <v>49500</v>
      </c>
      <c r="F122" s="141">
        <v>49500</v>
      </c>
      <c r="G122" s="141" t="s">
        <v>55</v>
      </c>
      <c r="H122" s="145">
        <f t="shared" ref="H122:H124" si="24">+E122</f>
        <v>49500</v>
      </c>
      <c r="I122" s="141"/>
      <c r="J122" s="141"/>
      <c r="K122" s="141"/>
      <c r="L122" s="141"/>
      <c r="M122" s="70">
        <v>49500</v>
      </c>
      <c r="N122" s="141"/>
      <c r="O122" s="141"/>
      <c r="P122" s="141"/>
      <c r="Q122" s="141"/>
      <c r="R122" s="143"/>
      <c r="S122" s="141"/>
      <c r="T122" s="144"/>
      <c r="U122" s="143"/>
      <c r="V122" s="143"/>
      <c r="W122" s="143"/>
      <c r="X122" s="143"/>
      <c r="Y122" s="143"/>
      <c r="Z122" s="143"/>
      <c r="AA122" s="141"/>
      <c r="AB122" s="6">
        <f t="shared" si="19"/>
        <v>49500</v>
      </c>
      <c r="AC122" s="6">
        <f t="shared" si="20"/>
        <v>0</v>
      </c>
      <c r="AD122" s="141" t="s">
        <v>743</v>
      </c>
    </row>
    <row r="123" spans="1:30" ht="12" customHeight="1">
      <c r="A123" s="141" t="s">
        <v>260</v>
      </c>
      <c r="B123" s="141" t="s">
        <v>116</v>
      </c>
      <c r="C123" s="141" t="s">
        <v>117</v>
      </c>
      <c r="D123" s="141">
        <v>0</v>
      </c>
      <c r="E123" s="141">
        <v>49500</v>
      </c>
      <c r="F123" s="141">
        <v>49500</v>
      </c>
      <c r="G123" s="141" t="s">
        <v>55</v>
      </c>
      <c r="H123" s="145">
        <f t="shared" si="24"/>
        <v>49500</v>
      </c>
      <c r="I123" s="141"/>
      <c r="J123" s="141"/>
      <c r="K123" s="141"/>
      <c r="L123" s="141"/>
      <c r="M123" s="70">
        <v>49500</v>
      </c>
      <c r="N123" s="141"/>
      <c r="O123" s="141"/>
      <c r="P123" s="141"/>
      <c r="Q123" s="70"/>
      <c r="R123" s="143"/>
      <c r="S123" s="141"/>
      <c r="T123" s="144"/>
      <c r="U123" s="141"/>
      <c r="V123" s="143"/>
      <c r="W123" s="143"/>
      <c r="X123" s="143"/>
      <c r="Y123" s="143"/>
      <c r="Z123" s="143"/>
      <c r="AA123" s="141"/>
      <c r="AB123" s="6">
        <f t="shared" si="19"/>
        <v>49500</v>
      </c>
      <c r="AC123" s="6">
        <f t="shared" si="20"/>
        <v>0</v>
      </c>
      <c r="AD123" s="141" t="s">
        <v>743</v>
      </c>
    </row>
    <row r="124" spans="1:30" ht="12" customHeight="1">
      <c r="A124" s="141" t="s">
        <v>260</v>
      </c>
      <c r="B124" s="141" t="s">
        <v>261</v>
      </c>
      <c r="C124" s="141" t="s">
        <v>262</v>
      </c>
      <c r="D124" s="141">
        <v>23545.454545000001</v>
      </c>
      <c r="E124" s="141">
        <v>259000</v>
      </c>
      <c r="F124" s="141">
        <v>235454.54545500001</v>
      </c>
      <c r="G124" s="141" t="s">
        <v>8</v>
      </c>
      <c r="H124" s="145">
        <f t="shared" si="24"/>
        <v>259000</v>
      </c>
      <c r="I124" s="70"/>
      <c r="J124" s="141"/>
      <c r="K124" s="141"/>
      <c r="L124" s="141"/>
      <c r="M124" s="141"/>
      <c r="N124" s="141"/>
      <c r="O124" s="141">
        <v>259000</v>
      </c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  <c r="AB124" s="6">
        <f t="shared" si="19"/>
        <v>259000</v>
      </c>
      <c r="AC124" s="6">
        <f t="shared" si="20"/>
        <v>0</v>
      </c>
      <c r="AD124" s="141" t="s">
        <v>743</v>
      </c>
    </row>
    <row r="125" spans="1:30" ht="12" customHeight="1">
      <c r="A125" s="141" t="s">
        <v>255</v>
      </c>
      <c r="B125" s="146" t="s">
        <v>927</v>
      </c>
      <c r="C125" s="146" t="s">
        <v>928</v>
      </c>
      <c r="D125" s="146" t="s">
        <v>929</v>
      </c>
      <c r="E125" s="146">
        <v>1</v>
      </c>
      <c r="F125" s="84"/>
      <c r="G125" s="146" t="s">
        <v>515</v>
      </c>
      <c r="H125" s="147">
        <v>90800</v>
      </c>
      <c r="I125" s="141"/>
      <c r="J125" s="141"/>
      <c r="K125" s="143"/>
      <c r="L125" s="141"/>
      <c r="M125" s="143"/>
      <c r="N125" s="141"/>
      <c r="O125" s="141"/>
      <c r="P125" s="143">
        <v>90800</v>
      </c>
      <c r="Q125" s="143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  <c r="AB125" s="6">
        <f t="shared" si="19"/>
        <v>90800</v>
      </c>
      <c r="AC125" s="6">
        <f t="shared" si="20"/>
        <v>0</v>
      </c>
      <c r="AD125" s="141"/>
    </row>
    <row r="126" spans="1:30" ht="12" customHeight="1">
      <c r="A126" s="141" t="s">
        <v>255</v>
      </c>
      <c r="B126" s="146" t="s">
        <v>967</v>
      </c>
      <c r="C126" s="146" t="s">
        <v>968</v>
      </c>
      <c r="D126" s="146" t="s">
        <v>969</v>
      </c>
      <c r="E126" s="84"/>
      <c r="F126" s="146">
        <v>1</v>
      </c>
      <c r="G126" s="146" t="s">
        <v>515</v>
      </c>
      <c r="H126" s="147">
        <v>1500000</v>
      </c>
      <c r="I126" s="141"/>
      <c r="J126" s="141"/>
      <c r="K126" s="143"/>
      <c r="L126" s="141"/>
      <c r="M126" s="143"/>
      <c r="N126" s="141">
        <v>1500000</v>
      </c>
      <c r="O126" s="141"/>
      <c r="P126" s="143"/>
      <c r="Q126" s="143"/>
      <c r="R126" s="143"/>
      <c r="S126" s="141"/>
      <c r="T126" s="144"/>
      <c r="U126" s="143"/>
      <c r="V126" s="143"/>
      <c r="W126" s="143"/>
      <c r="X126" s="151"/>
      <c r="Y126" s="143"/>
      <c r="Z126" s="143"/>
      <c r="AA126" s="141"/>
      <c r="AB126" s="6">
        <f t="shared" si="19"/>
        <v>1500000</v>
      </c>
      <c r="AC126" s="6">
        <f t="shared" si="20"/>
        <v>0</v>
      </c>
      <c r="AD126" s="141"/>
    </row>
    <row r="127" spans="1:30" ht="12" customHeight="1">
      <c r="A127" s="141" t="s">
        <v>255</v>
      </c>
      <c r="B127" s="141" t="s">
        <v>258</v>
      </c>
      <c r="C127" s="141" t="s">
        <v>259</v>
      </c>
      <c r="D127" s="141">
        <v>1000</v>
      </c>
      <c r="E127" s="141">
        <v>11000</v>
      </c>
      <c r="F127" s="141">
        <v>10000</v>
      </c>
      <c r="G127" s="141" t="s">
        <v>8</v>
      </c>
      <c r="H127" s="145">
        <f t="shared" ref="H127:H129" si="25">+E127</f>
        <v>11000</v>
      </c>
      <c r="I127" s="141"/>
      <c r="J127" s="70"/>
      <c r="K127" s="141"/>
      <c r="L127" s="141"/>
      <c r="M127" s="141"/>
      <c r="N127" s="141"/>
      <c r="O127" s="141">
        <v>11000</v>
      </c>
      <c r="P127" s="141"/>
      <c r="Q127" s="141"/>
      <c r="R127" s="143"/>
      <c r="S127" s="141"/>
      <c r="T127" s="144"/>
      <c r="U127" s="141"/>
      <c r="V127" s="143"/>
      <c r="W127" s="143"/>
      <c r="X127" s="143"/>
      <c r="Y127" s="143"/>
      <c r="Z127" s="143"/>
      <c r="AA127" s="141"/>
      <c r="AB127" s="6">
        <f t="shared" si="19"/>
        <v>11000</v>
      </c>
      <c r="AC127" s="6">
        <f t="shared" si="20"/>
        <v>0</v>
      </c>
      <c r="AD127" s="141" t="s">
        <v>743</v>
      </c>
    </row>
    <row r="128" spans="1:30" ht="12" customHeight="1">
      <c r="A128" s="141" t="s">
        <v>255</v>
      </c>
      <c r="B128" s="141" t="s">
        <v>103</v>
      </c>
      <c r="C128" s="141" t="s">
        <v>104</v>
      </c>
      <c r="D128" s="141">
        <v>4819.97</v>
      </c>
      <c r="E128" s="141">
        <v>53100</v>
      </c>
      <c r="F128" s="141">
        <v>48280.03</v>
      </c>
      <c r="G128" s="141" t="s">
        <v>8</v>
      </c>
      <c r="H128" s="145">
        <f t="shared" si="25"/>
        <v>53100</v>
      </c>
      <c r="I128" s="141"/>
      <c r="J128" s="141"/>
      <c r="K128" s="142">
        <f>+H128</f>
        <v>53100</v>
      </c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  <c r="AB128" s="6">
        <f t="shared" si="19"/>
        <v>53100</v>
      </c>
      <c r="AC128" s="6">
        <f t="shared" si="20"/>
        <v>0</v>
      </c>
      <c r="AD128" s="141" t="s">
        <v>743</v>
      </c>
    </row>
    <row r="129" spans="1:30" ht="12" customHeight="1">
      <c r="A129" s="141" t="s">
        <v>255</v>
      </c>
      <c r="B129" s="141" t="s">
        <v>256</v>
      </c>
      <c r="C129" s="141" t="s">
        <v>257</v>
      </c>
      <c r="D129" s="141">
        <v>0</v>
      </c>
      <c r="E129" s="141">
        <v>4960000</v>
      </c>
      <c r="F129" s="141">
        <v>4960000</v>
      </c>
      <c r="G129" s="141" t="s">
        <v>8</v>
      </c>
      <c r="H129" s="145">
        <f t="shared" si="25"/>
        <v>4960000</v>
      </c>
      <c r="I129" s="141"/>
      <c r="J129" s="70"/>
      <c r="K129" s="141"/>
      <c r="L129" s="141"/>
      <c r="M129" s="141"/>
      <c r="N129" s="70">
        <v>4960000</v>
      </c>
      <c r="O129" s="141"/>
      <c r="P129" s="141"/>
      <c r="Q129" s="141"/>
      <c r="R129" s="143"/>
      <c r="S129" s="141"/>
      <c r="T129" s="144"/>
      <c r="U129" s="143"/>
      <c r="V129" s="143"/>
      <c r="W129" s="143"/>
      <c r="X129" s="143"/>
      <c r="Y129" s="143"/>
      <c r="Z129" s="143"/>
      <c r="AA129" s="141"/>
      <c r="AB129" s="6">
        <f t="shared" si="19"/>
        <v>4960000</v>
      </c>
      <c r="AC129" s="6">
        <f t="shared" si="20"/>
        <v>0</v>
      </c>
      <c r="AD129" s="141" t="s">
        <v>743</v>
      </c>
    </row>
    <row r="130" spans="1:30" ht="12" customHeight="1">
      <c r="A130" s="141" t="s">
        <v>240</v>
      </c>
      <c r="B130" s="146" t="s">
        <v>932</v>
      </c>
      <c r="C130" s="146" t="s">
        <v>930</v>
      </c>
      <c r="D130" s="146" t="s">
        <v>931</v>
      </c>
      <c r="E130" s="84"/>
      <c r="F130" s="146">
        <v>1</v>
      </c>
      <c r="G130" s="146" t="s">
        <v>515</v>
      </c>
      <c r="H130" s="147">
        <v>100000</v>
      </c>
      <c r="I130" s="141">
        <v>100000</v>
      </c>
      <c r="J130" s="141"/>
      <c r="K130" s="143"/>
      <c r="L130" s="141"/>
      <c r="M130" s="143"/>
      <c r="N130" s="141"/>
      <c r="O130" s="141"/>
      <c r="P130" s="143"/>
      <c r="Q130" s="143"/>
      <c r="R130" s="143"/>
      <c r="S130" s="141"/>
      <c r="T130" s="144"/>
      <c r="U130" s="143"/>
      <c r="V130" s="143"/>
      <c r="W130" s="143"/>
      <c r="X130" s="143"/>
      <c r="Y130" s="143"/>
      <c r="Z130" s="143"/>
      <c r="AA130" s="141"/>
      <c r="AB130" s="6">
        <f t="shared" si="19"/>
        <v>100000</v>
      </c>
      <c r="AC130" s="6">
        <f t="shared" si="20"/>
        <v>0</v>
      </c>
      <c r="AD130" s="141"/>
    </row>
    <row r="131" spans="1:30" ht="12" customHeight="1">
      <c r="A131" s="141" t="s">
        <v>240</v>
      </c>
      <c r="B131" s="146" t="s">
        <v>939</v>
      </c>
      <c r="C131" s="146" t="s">
        <v>940</v>
      </c>
      <c r="D131" s="146" t="s">
        <v>941</v>
      </c>
      <c r="E131" s="84"/>
      <c r="F131" s="146">
        <v>1</v>
      </c>
      <c r="G131" s="146" t="s">
        <v>515</v>
      </c>
      <c r="H131" s="147">
        <v>144700</v>
      </c>
      <c r="I131" s="141"/>
      <c r="J131" s="141"/>
      <c r="K131" s="143">
        <v>144700</v>
      </c>
      <c r="L131" s="141"/>
      <c r="M131" s="143"/>
      <c r="N131" s="141"/>
      <c r="O131" s="141"/>
      <c r="P131" s="143"/>
      <c r="Q131" s="143"/>
      <c r="R131" s="143"/>
      <c r="S131" s="141"/>
      <c r="T131" s="144"/>
      <c r="U131" s="141"/>
      <c r="V131" s="143"/>
      <c r="W131" s="143"/>
      <c r="X131" s="143"/>
      <c r="Y131" s="143"/>
      <c r="Z131" s="143"/>
      <c r="AA131" s="141"/>
      <c r="AB131" s="6">
        <f t="shared" si="19"/>
        <v>144700</v>
      </c>
      <c r="AC131" s="6">
        <f t="shared" si="20"/>
        <v>0</v>
      </c>
      <c r="AD131" s="141"/>
    </row>
    <row r="132" spans="1:30" ht="12" customHeight="1">
      <c r="A132" s="141" t="s">
        <v>240</v>
      </c>
      <c r="B132" s="146" t="s">
        <v>963</v>
      </c>
      <c r="C132" s="146" t="s">
        <v>930</v>
      </c>
      <c r="D132" s="146" t="s">
        <v>931</v>
      </c>
      <c r="E132" s="84"/>
      <c r="F132" s="146">
        <v>1</v>
      </c>
      <c r="G132" s="146" t="s">
        <v>515</v>
      </c>
      <c r="H132" s="147">
        <v>600000</v>
      </c>
      <c r="I132" s="141"/>
      <c r="J132" s="141"/>
      <c r="K132" s="143"/>
      <c r="L132" s="141"/>
      <c r="M132" s="143"/>
      <c r="N132" s="141"/>
      <c r="O132" s="141"/>
      <c r="P132" s="143"/>
      <c r="Q132" s="143"/>
      <c r="R132" s="143"/>
      <c r="S132" s="141"/>
      <c r="T132" s="144"/>
      <c r="U132" s="141"/>
      <c r="V132" s="143"/>
      <c r="W132" s="143"/>
      <c r="X132" s="143">
        <v>600000</v>
      </c>
      <c r="Y132" s="143"/>
      <c r="Z132" s="143"/>
      <c r="AA132" s="141"/>
      <c r="AB132" s="6">
        <f t="shared" si="19"/>
        <v>600000</v>
      </c>
      <c r="AC132" s="6">
        <f t="shared" si="20"/>
        <v>0</v>
      </c>
      <c r="AD132" s="141"/>
    </row>
    <row r="133" spans="1:30" ht="12" customHeight="1">
      <c r="A133" s="141" t="s">
        <v>240</v>
      </c>
      <c r="B133" s="141" t="s">
        <v>53</v>
      </c>
      <c r="C133" s="141" t="s">
        <v>54</v>
      </c>
      <c r="D133" s="141">
        <v>0</v>
      </c>
      <c r="E133" s="141">
        <v>1000</v>
      </c>
      <c r="F133" s="141">
        <v>1000</v>
      </c>
      <c r="G133" s="141" t="s">
        <v>55</v>
      </c>
      <c r="H133" s="145">
        <f t="shared" ref="H133:H145" si="26">+E133</f>
        <v>1000</v>
      </c>
      <c r="I133" s="70">
        <v>1000</v>
      </c>
      <c r="J133" s="141"/>
      <c r="K133" s="70"/>
      <c r="L133" s="141"/>
      <c r="M133" s="141"/>
      <c r="N133" s="141"/>
      <c r="O133" s="70"/>
      <c r="P133" s="141"/>
      <c r="Q133" s="141"/>
      <c r="R133" s="143"/>
      <c r="S133" s="141"/>
      <c r="T133" s="144"/>
      <c r="U133" s="141"/>
      <c r="V133" s="143"/>
      <c r="W133" s="143"/>
      <c r="X133" s="143"/>
      <c r="Y133" s="143"/>
      <c r="Z133" s="143"/>
      <c r="AA133" s="141"/>
      <c r="AB133" s="6">
        <f t="shared" si="19"/>
        <v>1000</v>
      </c>
      <c r="AC133" s="6">
        <f t="shared" si="20"/>
        <v>0</v>
      </c>
      <c r="AD133" s="141" t="s">
        <v>743</v>
      </c>
    </row>
    <row r="134" spans="1:30" ht="12" customHeight="1">
      <c r="A134" s="141" t="s">
        <v>240</v>
      </c>
      <c r="B134" s="141" t="s">
        <v>253</v>
      </c>
      <c r="C134" s="141" t="s">
        <v>254</v>
      </c>
      <c r="D134" s="141">
        <v>0</v>
      </c>
      <c r="E134" s="141">
        <v>1000</v>
      </c>
      <c r="F134" s="141">
        <v>1000</v>
      </c>
      <c r="G134" s="141" t="s">
        <v>8</v>
      </c>
      <c r="H134" s="145">
        <f t="shared" si="26"/>
        <v>1000</v>
      </c>
      <c r="I134" s="70">
        <v>1000</v>
      </c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  <c r="AB134" s="6">
        <f t="shared" ref="AB134:AB145" si="27">SUM(I134:AA134)</f>
        <v>1000</v>
      </c>
      <c r="AC134" s="6">
        <f t="shared" ref="AC134:AC145" si="28">+AB134-H134</f>
        <v>0</v>
      </c>
      <c r="AD134" s="141" t="s">
        <v>743</v>
      </c>
    </row>
    <row r="135" spans="1:30" ht="12" customHeight="1">
      <c r="A135" s="141" t="s">
        <v>240</v>
      </c>
      <c r="B135" s="141" t="s">
        <v>56</v>
      </c>
      <c r="C135" s="141" t="s">
        <v>57</v>
      </c>
      <c r="D135" s="141">
        <v>0</v>
      </c>
      <c r="E135" s="141">
        <v>2000</v>
      </c>
      <c r="F135" s="141">
        <v>2000</v>
      </c>
      <c r="G135" s="141" t="s">
        <v>55</v>
      </c>
      <c r="H135" s="145">
        <f t="shared" si="26"/>
        <v>2000</v>
      </c>
      <c r="I135" s="70">
        <v>2000</v>
      </c>
      <c r="J135" s="70"/>
      <c r="K135" s="142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  <c r="AB135" s="6">
        <f t="shared" si="27"/>
        <v>2000</v>
      </c>
      <c r="AC135" s="6">
        <f t="shared" si="28"/>
        <v>0</v>
      </c>
      <c r="AD135" s="141" t="s">
        <v>743</v>
      </c>
    </row>
    <row r="136" spans="1:30" s="153" customFormat="1" ht="12" customHeight="1">
      <c r="A136" s="141" t="s">
        <v>240</v>
      </c>
      <c r="B136" s="141" t="s">
        <v>78</v>
      </c>
      <c r="C136" s="141" t="s">
        <v>79</v>
      </c>
      <c r="D136" s="141">
        <v>1418.18</v>
      </c>
      <c r="E136" s="141">
        <v>15600</v>
      </c>
      <c r="F136" s="141">
        <v>14181.82</v>
      </c>
      <c r="G136" s="141" t="s">
        <v>8</v>
      </c>
      <c r="H136" s="145">
        <f t="shared" si="26"/>
        <v>15600</v>
      </c>
      <c r="I136" s="142"/>
      <c r="J136" s="141"/>
      <c r="K136" s="70">
        <f>+H136</f>
        <v>15600</v>
      </c>
      <c r="L136" s="141"/>
      <c r="M136" s="70"/>
      <c r="N136" s="141"/>
      <c r="O136" s="141"/>
      <c r="P136" s="141"/>
      <c r="Q136" s="141"/>
      <c r="R136" s="143"/>
      <c r="S136" s="141"/>
      <c r="T136" s="144"/>
      <c r="U136" s="141"/>
      <c r="V136" s="143"/>
      <c r="W136" s="143"/>
      <c r="X136" s="143"/>
      <c r="Y136" s="143"/>
      <c r="Z136" s="143"/>
      <c r="AA136" s="141"/>
      <c r="AB136" s="6">
        <f t="shared" si="27"/>
        <v>15600</v>
      </c>
      <c r="AC136" s="6">
        <f t="shared" si="28"/>
        <v>0</v>
      </c>
      <c r="AD136" s="141" t="s">
        <v>743</v>
      </c>
    </row>
    <row r="137" spans="1:30" s="153" customFormat="1" ht="12" customHeight="1">
      <c r="A137" s="141" t="s">
        <v>240</v>
      </c>
      <c r="B137" s="141" t="s">
        <v>251</v>
      </c>
      <c r="C137" s="141" t="s">
        <v>252</v>
      </c>
      <c r="D137" s="141">
        <v>1700</v>
      </c>
      <c r="E137" s="141">
        <v>18700</v>
      </c>
      <c r="F137" s="141">
        <v>17000</v>
      </c>
      <c r="G137" s="141" t="s">
        <v>8</v>
      </c>
      <c r="H137" s="145">
        <f t="shared" si="26"/>
        <v>18700</v>
      </c>
      <c r="I137" s="142"/>
      <c r="J137" s="141"/>
      <c r="K137" s="141"/>
      <c r="L137" s="141"/>
      <c r="M137" s="141"/>
      <c r="N137" s="141">
        <v>18700</v>
      </c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6">
        <f t="shared" si="27"/>
        <v>18700</v>
      </c>
      <c r="AC137" s="6">
        <f t="shared" si="28"/>
        <v>0</v>
      </c>
      <c r="AD137" s="141" t="s">
        <v>743</v>
      </c>
    </row>
    <row r="138" spans="1:30" s="153" customFormat="1" ht="12" customHeight="1">
      <c r="A138" s="141" t="s">
        <v>240</v>
      </c>
      <c r="B138" s="141" t="s">
        <v>243</v>
      </c>
      <c r="C138" s="141" t="s">
        <v>244</v>
      </c>
      <c r="D138" s="141">
        <v>2000</v>
      </c>
      <c r="E138" s="141">
        <v>22000</v>
      </c>
      <c r="F138" s="141">
        <v>20000</v>
      </c>
      <c r="G138" s="141" t="s">
        <v>8</v>
      </c>
      <c r="H138" s="145">
        <f t="shared" si="26"/>
        <v>22000</v>
      </c>
      <c r="I138" s="141"/>
      <c r="J138" s="141"/>
      <c r="K138" s="141"/>
      <c r="L138" s="70">
        <f>+H138</f>
        <v>22000</v>
      </c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  <c r="AB138" s="6">
        <f t="shared" si="27"/>
        <v>22000</v>
      </c>
      <c r="AC138" s="6">
        <f t="shared" si="28"/>
        <v>0</v>
      </c>
      <c r="AD138" s="141" t="s">
        <v>743</v>
      </c>
    </row>
    <row r="139" spans="1:30" s="153" customFormat="1" ht="12" customHeight="1">
      <c r="A139" s="141" t="s">
        <v>240</v>
      </c>
      <c r="B139" s="141" t="s">
        <v>249</v>
      </c>
      <c r="C139" s="141" t="s">
        <v>250</v>
      </c>
      <c r="D139" s="141">
        <v>2000</v>
      </c>
      <c r="E139" s="141">
        <v>22000</v>
      </c>
      <c r="F139" s="141">
        <v>20000</v>
      </c>
      <c r="G139" s="141" t="s">
        <v>8</v>
      </c>
      <c r="H139" s="145">
        <f t="shared" si="26"/>
        <v>22000</v>
      </c>
      <c r="I139" s="142"/>
      <c r="J139" s="141"/>
      <c r="K139" s="141"/>
      <c r="L139" s="141"/>
      <c r="M139" s="141"/>
      <c r="N139" s="141"/>
      <c r="O139" s="70">
        <f>+H139</f>
        <v>22000</v>
      </c>
      <c r="P139" s="141"/>
      <c r="Q139" s="141"/>
      <c r="R139" s="143"/>
      <c r="S139" s="141"/>
      <c r="T139" s="144"/>
      <c r="U139" s="141"/>
      <c r="V139" s="143"/>
      <c r="W139" s="143"/>
      <c r="X139" s="143"/>
      <c r="Y139" s="143"/>
      <c r="Z139" s="143"/>
      <c r="AA139" s="141"/>
      <c r="AB139" s="6">
        <f t="shared" si="27"/>
        <v>22000</v>
      </c>
      <c r="AC139" s="6">
        <f t="shared" si="28"/>
        <v>0</v>
      </c>
      <c r="AD139" s="141" t="s">
        <v>743</v>
      </c>
    </row>
    <row r="140" spans="1:30" s="153" customFormat="1" ht="12" customHeight="1">
      <c r="A140" s="141" t="s">
        <v>240</v>
      </c>
      <c r="B140" s="141" t="s">
        <v>245</v>
      </c>
      <c r="C140" s="141" t="s">
        <v>246</v>
      </c>
      <c r="D140" s="141">
        <v>2272.73</v>
      </c>
      <c r="E140" s="141">
        <v>25000</v>
      </c>
      <c r="F140" s="141">
        <v>22727.27</v>
      </c>
      <c r="G140" s="141" t="s">
        <v>8</v>
      </c>
      <c r="H140" s="145">
        <f t="shared" si="26"/>
        <v>25000</v>
      </c>
      <c r="I140" s="70">
        <f>+H140</f>
        <v>25000</v>
      </c>
      <c r="J140" s="141"/>
      <c r="K140" s="141"/>
      <c r="L140" s="141"/>
      <c r="M140" s="141"/>
      <c r="N140" s="141"/>
      <c r="O140" s="141"/>
      <c r="P140" s="141"/>
      <c r="Q140" s="141"/>
      <c r="R140" s="143"/>
      <c r="S140" s="141"/>
      <c r="T140" s="144"/>
      <c r="U140" s="141"/>
      <c r="V140" s="143"/>
      <c r="W140" s="143"/>
      <c r="X140" s="143"/>
      <c r="Y140" s="143"/>
      <c r="Z140" s="143"/>
      <c r="AA140" s="141"/>
      <c r="AB140" s="6">
        <f t="shared" si="27"/>
        <v>25000</v>
      </c>
      <c r="AC140" s="6">
        <f t="shared" si="28"/>
        <v>0</v>
      </c>
      <c r="AD140" s="141" t="s">
        <v>743</v>
      </c>
    </row>
    <row r="141" spans="1:30" s="153" customFormat="1" ht="12" customHeight="1">
      <c r="A141" s="141" t="s">
        <v>240</v>
      </c>
      <c r="B141" s="141" t="s">
        <v>245</v>
      </c>
      <c r="C141" s="141" t="s">
        <v>246</v>
      </c>
      <c r="D141" s="141">
        <v>2272.73</v>
      </c>
      <c r="E141" s="141">
        <v>25000</v>
      </c>
      <c r="F141" s="141">
        <v>22727.27</v>
      </c>
      <c r="G141" s="141" t="s">
        <v>8</v>
      </c>
      <c r="H141" s="145">
        <f t="shared" si="26"/>
        <v>25000</v>
      </c>
      <c r="I141" s="70">
        <f>+H141</f>
        <v>25000</v>
      </c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  <c r="AB141" s="6">
        <f t="shared" si="27"/>
        <v>25000</v>
      </c>
      <c r="AC141" s="6">
        <f t="shared" si="28"/>
        <v>0</v>
      </c>
      <c r="AD141" s="141" t="s">
        <v>743</v>
      </c>
    </row>
    <row r="142" spans="1:30" s="153" customFormat="1" ht="12" customHeight="1">
      <c r="A142" s="141" t="s">
        <v>240</v>
      </c>
      <c r="B142" s="141" t="s">
        <v>247</v>
      </c>
      <c r="C142" s="141" t="s">
        <v>248</v>
      </c>
      <c r="D142" s="141">
        <v>6102.73</v>
      </c>
      <c r="E142" s="141">
        <v>67130</v>
      </c>
      <c r="F142" s="141">
        <v>61027.270000000004</v>
      </c>
      <c r="G142" s="141" t="s">
        <v>8</v>
      </c>
      <c r="H142" s="145">
        <f t="shared" si="26"/>
        <v>67130</v>
      </c>
      <c r="I142" s="141"/>
      <c r="J142" s="141"/>
      <c r="K142" s="70">
        <v>67130</v>
      </c>
      <c r="L142" s="141"/>
      <c r="M142" s="141"/>
      <c r="N142" s="141"/>
      <c r="O142" s="141"/>
      <c r="P142" s="141"/>
      <c r="Q142" s="141"/>
      <c r="R142" s="143"/>
      <c r="S142" s="141"/>
      <c r="T142" s="144"/>
      <c r="U142" s="141"/>
      <c r="V142" s="143"/>
      <c r="W142" s="143"/>
      <c r="X142" s="143"/>
      <c r="Y142" s="143"/>
      <c r="Z142" s="143"/>
      <c r="AA142" s="141"/>
      <c r="AB142" s="6">
        <f t="shared" si="27"/>
        <v>67130</v>
      </c>
      <c r="AC142" s="6">
        <f t="shared" si="28"/>
        <v>0</v>
      </c>
      <c r="AD142" s="141" t="s">
        <v>743</v>
      </c>
    </row>
    <row r="143" spans="1:30" ht="12" customHeight="1">
      <c r="A143" s="141" t="s">
        <v>240</v>
      </c>
      <c r="B143" s="141" t="s">
        <v>243</v>
      </c>
      <c r="C143" s="141" t="s">
        <v>244</v>
      </c>
      <c r="D143" s="141">
        <v>24000</v>
      </c>
      <c r="E143" s="141">
        <v>264000</v>
      </c>
      <c r="F143" s="141">
        <v>240000</v>
      </c>
      <c r="G143" s="141" t="s">
        <v>8</v>
      </c>
      <c r="H143" s="145">
        <f t="shared" si="26"/>
        <v>264000</v>
      </c>
      <c r="I143" s="141"/>
      <c r="J143" s="141"/>
      <c r="K143" s="141"/>
      <c r="L143" s="141"/>
      <c r="M143" s="141"/>
      <c r="N143" s="141"/>
      <c r="O143" s="70">
        <f>+H143</f>
        <v>264000</v>
      </c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  <c r="AB143" s="6">
        <f t="shared" si="27"/>
        <v>264000</v>
      </c>
      <c r="AC143" s="6">
        <f t="shared" si="28"/>
        <v>0</v>
      </c>
      <c r="AD143" s="141" t="s">
        <v>743</v>
      </c>
    </row>
    <row r="144" spans="1:30" ht="12" customHeight="1">
      <c r="A144" s="141" t="s">
        <v>240</v>
      </c>
      <c r="B144" s="141" t="s">
        <v>241</v>
      </c>
      <c r="C144" s="141" t="s">
        <v>242</v>
      </c>
      <c r="D144" s="141">
        <v>30400</v>
      </c>
      <c r="E144" s="141">
        <v>334400</v>
      </c>
      <c r="F144" s="141">
        <v>304000</v>
      </c>
      <c r="G144" s="141" t="s">
        <v>8</v>
      </c>
      <c r="H144" s="145">
        <f t="shared" si="26"/>
        <v>334400</v>
      </c>
      <c r="I144" s="70"/>
      <c r="J144" s="141"/>
      <c r="K144" s="141"/>
      <c r="L144" s="141"/>
      <c r="M144" s="141"/>
      <c r="N144" s="142">
        <f>+H144</f>
        <v>334400</v>
      </c>
      <c r="O144" s="141"/>
      <c r="P144" s="141"/>
      <c r="Q144" s="141"/>
      <c r="R144" s="143"/>
      <c r="S144" s="141"/>
      <c r="T144" s="144"/>
      <c r="U144" s="141"/>
      <c r="V144" s="143"/>
      <c r="W144" s="143"/>
      <c r="X144" s="143"/>
      <c r="Y144" s="143"/>
      <c r="Z144" s="143"/>
      <c r="AA144" s="141"/>
      <c r="AB144" s="6">
        <f t="shared" si="27"/>
        <v>334400</v>
      </c>
      <c r="AC144" s="6">
        <f t="shared" si="28"/>
        <v>0</v>
      </c>
      <c r="AD144" s="141" t="s">
        <v>743</v>
      </c>
    </row>
    <row r="145" spans="1:30" ht="12" customHeight="1">
      <c r="A145" s="141" t="s">
        <v>240</v>
      </c>
      <c r="B145" s="141" t="s">
        <v>156</v>
      </c>
      <c r="C145" s="141" t="s">
        <v>157</v>
      </c>
      <c r="D145" s="141">
        <v>258254.54545500001</v>
      </c>
      <c r="E145" s="141">
        <v>2840800</v>
      </c>
      <c r="F145" s="141">
        <v>2582545.4545450001</v>
      </c>
      <c r="G145" s="141" t="s">
        <v>8</v>
      </c>
      <c r="H145" s="145">
        <f t="shared" si="26"/>
        <v>2840800</v>
      </c>
      <c r="I145" s="70"/>
      <c r="J145" s="141"/>
      <c r="K145" s="141"/>
      <c r="L145" s="141"/>
      <c r="M145" s="141"/>
      <c r="N145" s="141"/>
      <c r="O145" s="141"/>
      <c r="P145" s="70">
        <f>+H145</f>
        <v>2840800</v>
      </c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  <c r="AB145" s="6">
        <f t="shared" si="27"/>
        <v>2840800</v>
      </c>
      <c r="AC145" s="6">
        <f t="shared" si="28"/>
        <v>0</v>
      </c>
      <c r="AD145" s="141" t="s">
        <v>743</v>
      </c>
    </row>
  </sheetData>
  <autoFilter ref="A3:AD14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260"/>
  <sheetViews>
    <sheetView topLeftCell="J1" zoomScale="70" zoomScaleNormal="70" workbookViewId="0">
      <pane ySplit="5" topLeftCell="A6" activePane="bottomLeft" state="frozen"/>
      <selection activeCell="E1" sqref="E1"/>
      <selection pane="bottomLeft" activeCell="AB4" sqref="AB4"/>
    </sheetView>
  </sheetViews>
  <sheetFormatPr defaultColWidth="9" defaultRowHeight="13"/>
  <cols>
    <col min="1" max="1" width="10.08203125" style="39" bestFit="1" customWidth="1"/>
    <col min="2" max="2" width="28.08203125" style="39" bestFit="1" customWidth="1"/>
    <col min="3" max="3" width="38.5" style="39" customWidth="1"/>
    <col min="4" max="4" width="11.33203125" style="39" bestFit="1" customWidth="1"/>
    <col min="5" max="5" width="11.75" style="39" customWidth="1"/>
    <col min="6" max="6" width="17.25" style="41" customWidth="1"/>
    <col min="7" max="7" width="11.75" style="39" customWidth="1"/>
    <col min="8" max="8" width="13.75" style="39" bestFit="1" customWidth="1"/>
    <col min="9" max="9" width="13" style="39" bestFit="1" customWidth="1"/>
    <col min="10" max="10" width="12.25" style="39" bestFit="1" customWidth="1"/>
    <col min="11" max="11" width="11.75" style="39" bestFit="1" customWidth="1"/>
    <col min="12" max="12" width="11.25" style="39" bestFit="1" customWidth="1"/>
    <col min="13" max="13" width="13.08203125" style="39" bestFit="1" customWidth="1"/>
    <col min="14" max="14" width="12.25" style="39" bestFit="1" customWidth="1"/>
    <col min="15" max="15" width="11.83203125" style="39" bestFit="1" customWidth="1"/>
    <col min="16" max="16" width="12.25" style="39" bestFit="1" customWidth="1"/>
    <col min="17" max="17" width="13.5" style="39" bestFit="1" customWidth="1"/>
    <col min="18" max="27" width="8.83203125" style="39" customWidth="1"/>
    <col min="28" max="28" width="13.33203125" style="39" bestFit="1" customWidth="1"/>
    <col min="29" max="29" width="10.58203125" style="39" bestFit="1" customWidth="1"/>
    <col min="30" max="16384" width="9" style="39"/>
  </cols>
  <sheetData>
    <row r="1" spans="1:30">
      <c r="F1" s="39"/>
      <c r="G1" s="73" t="s">
        <v>481</v>
      </c>
      <c r="I1" s="173" t="s">
        <v>2</v>
      </c>
      <c r="J1" s="154">
        <v>86061461</v>
      </c>
      <c r="K1" s="154">
        <f>+J2+J1</f>
        <v>123725573</v>
      </c>
    </row>
    <row r="2" spans="1:30">
      <c r="D2" s="72" t="s">
        <v>480</v>
      </c>
      <c r="E2" s="72" t="s">
        <v>478</v>
      </c>
      <c r="F2" s="71" t="s">
        <v>479</v>
      </c>
      <c r="I2" s="60"/>
      <c r="J2" s="154">
        <v>37664112</v>
      </c>
      <c r="K2" s="60"/>
    </row>
    <row r="3" spans="1:30" s="46" customFormat="1" ht="52">
      <c r="A3" s="42" t="s">
        <v>15</v>
      </c>
      <c r="B3" s="43" t="s">
        <v>0</v>
      </c>
      <c r="C3" s="43" t="s">
        <v>1</v>
      </c>
      <c r="D3" s="44" t="s">
        <v>2</v>
      </c>
      <c r="E3" s="44" t="s">
        <v>3</v>
      </c>
      <c r="F3" s="45" t="s">
        <v>4</v>
      </c>
      <c r="G3" s="43" t="s">
        <v>16</v>
      </c>
      <c r="H3" s="43" t="s">
        <v>37</v>
      </c>
      <c r="I3" s="42" t="s">
        <v>17</v>
      </c>
      <c r="J3" s="42" t="s">
        <v>62</v>
      </c>
      <c r="K3" s="42" t="s">
        <v>18</v>
      </c>
      <c r="L3" s="45" t="s">
        <v>19</v>
      </c>
      <c r="M3" s="42" t="s">
        <v>20</v>
      </c>
      <c r="N3" s="42" t="s">
        <v>21</v>
      </c>
      <c r="O3" s="42" t="s">
        <v>22</v>
      </c>
      <c r="P3" s="42" t="s">
        <v>23</v>
      </c>
      <c r="Q3" s="43" t="s">
        <v>24</v>
      </c>
      <c r="R3" s="43" t="s">
        <v>25</v>
      </c>
      <c r="S3" s="43" t="s">
        <v>26</v>
      </c>
      <c r="T3" s="43" t="s">
        <v>27</v>
      </c>
      <c r="U3" s="43" t="s">
        <v>28</v>
      </c>
      <c r="V3" s="43" t="s">
        <v>29</v>
      </c>
      <c r="W3" s="43" t="s">
        <v>30</v>
      </c>
      <c r="X3" s="43" t="s">
        <v>31</v>
      </c>
      <c r="Y3" s="43" t="s">
        <v>32</v>
      </c>
      <c r="Z3" s="43" t="s">
        <v>33</v>
      </c>
      <c r="AA3" s="43" t="s">
        <v>34</v>
      </c>
      <c r="AB3" s="43" t="s">
        <v>35</v>
      </c>
      <c r="AC3" s="43" t="s">
        <v>36</v>
      </c>
    </row>
    <row r="4" spans="1:30">
      <c r="A4" s="47"/>
      <c r="B4" s="47"/>
      <c r="C4" s="48"/>
      <c r="D4" s="49">
        <f>SUM(D6:D162)</f>
        <v>1907763.8215729999</v>
      </c>
      <c r="E4" s="49">
        <f>SUM(E6:E162)</f>
        <v>34214520.800000004</v>
      </c>
      <c r="F4" s="50">
        <f>SUM(F6:F162)</f>
        <v>32306756.978427004</v>
      </c>
      <c r="G4" s="49"/>
      <c r="H4" s="49">
        <f>SUM(H6:H262)</f>
        <v>123725572.8</v>
      </c>
      <c r="I4" s="49">
        <f t="shared" ref="I4:AA4" si="0">SUM(I6:I262)</f>
        <v>14399963.469999999</v>
      </c>
      <c r="J4" s="49">
        <f t="shared" si="0"/>
        <v>25340203.329999998</v>
      </c>
      <c r="K4" s="49">
        <f t="shared" si="0"/>
        <v>4229736</v>
      </c>
      <c r="L4" s="49">
        <f t="shared" si="0"/>
        <v>5545860</v>
      </c>
      <c r="M4" s="49">
        <f t="shared" si="0"/>
        <v>6641990</v>
      </c>
      <c r="N4" s="49">
        <f t="shared" si="0"/>
        <v>15328635</v>
      </c>
      <c r="O4" s="49">
        <f t="shared" si="0"/>
        <v>20978250</v>
      </c>
      <c r="P4" s="49">
        <f t="shared" si="0"/>
        <v>29085935</v>
      </c>
      <c r="Q4" s="49">
        <f t="shared" si="0"/>
        <v>2175000</v>
      </c>
      <c r="R4" s="49">
        <f t="shared" si="0"/>
        <v>0</v>
      </c>
      <c r="S4" s="49">
        <f t="shared" si="0"/>
        <v>0</v>
      </c>
      <c r="T4" s="49">
        <f t="shared" si="0"/>
        <v>0</v>
      </c>
      <c r="U4" s="49">
        <f t="shared" si="0"/>
        <v>0</v>
      </c>
      <c r="V4" s="49">
        <f t="shared" si="0"/>
        <v>0</v>
      </c>
      <c r="W4" s="49">
        <f t="shared" si="0"/>
        <v>0</v>
      </c>
      <c r="X4" s="49">
        <f t="shared" si="0"/>
        <v>0</v>
      </c>
      <c r="Y4" s="49">
        <f t="shared" si="0"/>
        <v>0</v>
      </c>
      <c r="Z4" s="49">
        <f t="shared" si="0"/>
        <v>0</v>
      </c>
      <c r="AA4" s="49">
        <f t="shared" si="0"/>
        <v>0</v>
      </c>
      <c r="AB4" s="49">
        <f>SUM(I4:AA4)</f>
        <v>123725572.8</v>
      </c>
      <c r="AC4" s="49">
        <f>SUM(AC6:AC162)</f>
        <v>0</v>
      </c>
    </row>
    <row r="5" spans="1:30">
      <c r="A5" s="51"/>
      <c r="B5" s="51"/>
      <c r="C5" s="52"/>
      <c r="D5" s="53"/>
      <c r="E5" s="53"/>
      <c r="F5" s="54">
        <v>1</v>
      </c>
      <c r="G5" s="55"/>
      <c r="H5" s="56"/>
      <c r="I5" s="55">
        <f>+I4/$H$4</f>
        <v>0.11638631484274688</v>
      </c>
      <c r="J5" s="57"/>
      <c r="K5" s="55">
        <f t="shared" ref="K5:AC5" si="1">+K4/$H$4</f>
        <v>3.4186432960284507E-2</v>
      </c>
      <c r="L5" s="55">
        <f t="shared" si="1"/>
        <v>4.4823878156254535E-2</v>
      </c>
      <c r="M5" s="55">
        <f t="shared" si="1"/>
        <v>5.368324308133654E-2</v>
      </c>
      <c r="N5" s="55">
        <f t="shared" si="1"/>
        <v>0.123892212847367</v>
      </c>
      <c r="O5" s="55">
        <f t="shared" si="1"/>
        <v>0.16955468077655164</v>
      </c>
      <c r="P5" s="55">
        <f t="shared" si="1"/>
        <v>0.23508426222456738</v>
      </c>
      <c r="Q5" s="55">
        <f t="shared" si="1"/>
        <v>1.7579227566122048E-2</v>
      </c>
      <c r="R5" s="55">
        <f t="shared" si="1"/>
        <v>0</v>
      </c>
      <c r="S5" s="55">
        <f t="shared" si="1"/>
        <v>0</v>
      </c>
      <c r="T5" s="55">
        <f t="shared" si="1"/>
        <v>0</v>
      </c>
      <c r="U5" s="55">
        <f t="shared" si="1"/>
        <v>0</v>
      </c>
      <c r="V5" s="55">
        <f t="shared" si="1"/>
        <v>0</v>
      </c>
      <c r="W5" s="55">
        <f t="shared" si="1"/>
        <v>0</v>
      </c>
      <c r="X5" s="55">
        <f t="shared" si="1"/>
        <v>0</v>
      </c>
      <c r="Y5" s="55">
        <f t="shared" si="1"/>
        <v>0</v>
      </c>
      <c r="Z5" s="55">
        <f t="shared" si="1"/>
        <v>0</v>
      </c>
      <c r="AA5" s="55">
        <f t="shared" si="1"/>
        <v>0</v>
      </c>
      <c r="AB5" s="55">
        <f t="shared" si="1"/>
        <v>1</v>
      </c>
      <c r="AC5" s="57">
        <f t="shared" si="1"/>
        <v>0</v>
      </c>
    </row>
    <row r="6" spans="1:30" s="61" customFormat="1" ht="15.5">
      <c r="A6" s="64" t="s">
        <v>476</v>
      </c>
      <c r="B6" s="156" t="s">
        <v>515</v>
      </c>
      <c r="C6" s="158" t="s">
        <v>992</v>
      </c>
      <c r="D6" s="64"/>
      <c r="E6" s="64"/>
      <c r="F6" s="64"/>
      <c r="G6" s="64"/>
      <c r="H6" s="65">
        <v>100</v>
      </c>
      <c r="I6" s="64">
        <f>+H6</f>
        <v>100</v>
      </c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49">
        <f t="shared" ref="AB6:AB37" si="2">SUM(I6:AA6)</f>
        <v>100</v>
      </c>
      <c r="AC6" s="49">
        <f t="shared" ref="AC6:AC69" si="3">+AB6-H6</f>
        <v>0</v>
      </c>
      <c r="AD6"/>
    </row>
    <row r="7" spans="1:30" s="61" customFormat="1" ht="15.5">
      <c r="A7" s="157" t="s">
        <v>476</v>
      </c>
      <c r="B7" s="157" t="s">
        <v>987</v>
      </c>
      <c r="C7" s="159" t="s">
        <v>986</v>
      </c>
      <c r="D7" s="64"/>
      <c r="E7" s="64"/>
      <c r="F7" s="64"/>
      <c r="G7" s="64"/>
      <c r="H7" s="65">
        <v>200</v>
      </c>
      <c r="I7" s="64">
        <f>+H7</f>
        <v>200</v>
      </c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49">
        <f t="shared" si="2"/>
        <v>200</v>
      </c>
      <c r="AC7" s="49">
        <f t="shared" si="3"/>
        <v>0</v>
      </c>
      <c r="AD7"/>
    </row>
    <row r="8" spans="1:30" s="61" customFormat="1" ht="15.5">
      <c r="A8" s="64" t="s">
        <v>476</v>
      </c>
      <c r="B8" s="64" t="s">
        <v>987</v>
      </c>
      <c r="C8" s="64" t="s">
        <v>988</v>
      </c>
      <c r="D8" s="64"/>
      <c r="E8" s="64"/>
      <c r="F8" s="64"/>
      <c r="G8" s="64"/>
      <c r="H8" s="65">
        <v>200</v>
      </c>
      <c r="I8" s="64">
        <f>+H8</f>
        <v>200</v>
      </c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49">
        <f t="shared" si="2"/>
        <v>200</v>
      </c>
      <c r="AC8" s="49">
        <f t="shared" si="3"/>
        <v>0</v>
      </c>
      <c r="AD8"/>
    </row>
    <row r="9" spans="1:30" s="61" customFormat="1" ht="15.5">
      <c r="A9" s="64" t="s">
        <v>476</v>
      </c>
      <c r="B9" s="64" t="s">
        <v>914</v>
      </c>
      <c r="C9" s="64" t="s">
        <v>993</v>
      </c>
      <c r="D9" s="64"/>
      <c r="E9" s="64"/>
      <c r="F9" s="64"/>
      <c r="G9" s="64"/>
      <c r="H9" s="65">
        <v>200</v>
      </c>
      <c r="I9" s="64">
        <f>+H9</f>
        <v>200</v>
      </c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49">
        <f t="shared" si="2"/>
        <v>200</v>
      </c>
      <c r="AC9" s="49">
        <f t="shared" si="3"/>
        <v>0</v>
      </c>
      <c r="AD9"/>
    </row>
    <row r="10" spans="1:30" s="61" customFormat="1" ht="15.5">
      <c r="A10" s="64" t="s">
        <v>476</v>
      </c>
      <c r="B10" s="64" t="s">
        <v>987</v>
      </c>
      <c r="C10" s="64" t="s">
        <v>989</v>
      </c>
      <c r="D10" s="64"/>
      <c r="E10" s="64"/>
      <c r="F10" s="64"/>
      <c r="G10" s="64"/>
      <c r="H10" s="65">
        <v>30000</v>
      </c>
      <c r="I10" s="64"/>
      <c r="J10" s="64"/>
      <c r="K10" s="64"/>
      <c r="L10" s="64"/>
      <c r="M10" s="64"/>
      <c r="N10" s="64"/>
      <c r="O10" s="64"/>
      <c r="P10" s="64">
        <v>30000</v>
      </c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49">
        <f t="shared" si="2"/>
        <v>30000</v>
      </c>
      <c r="AC10" s="49">
        <f t="shared" si="3"/>
        <v>0</v>
      </c>
      <c r="AD10"/>
    </row>
    <row r="11" spans="1:30" s="61" customFormat="1" ht="15.5">
      <c r="A11" s="64" t="s">
        <v>476</v>
      </c>
      <c r="B11" s="64" t="s">
        <v>156</v>
      </c>
      <c r="C11" s="64" t="s">
        <v>157</v>
      </c>
      <c r="D11" s="64">
        <v>4545.45</v>
      </c>
      <c r="E11" s="64">
        <v>50000</v>
      </c>
      <c r="F11" s="64">
        <f>+E11-D11</f>
        <v>45454.55</v>
      </c>
      <c r="G11" s="64" t="s">
        <v>8</v>
      </c>
      <c r="H11" s="65">
        <f>+E11</f>
        <v>50000</v>
      </c>
      <c r="I11" s="65">
        <f>+H11</f>
        <v>50000</v>
      </c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49">
        <f t="shared" si="2"/>
        <v>50000</v>
      </c>
      <c r="AC11" s="49">
        <f t="shared" si="3"/>
        <v>0</v>
      </c>
      <c r="AD11" t="s">
        <v>743</v>
      </c>
    </row>
    <row r="12" spans="1:30" s="61" customFormat="1" ht="15.5">
      <c r="A12" s="64" t="s">
        <v>476</v>
      </c>
      <c r="B12" s="64" t="s">
        <v>156</v>
      </c>
      <c r="C12" s="64" t="s">
        <v>157</v>
      </c>
      <c r="D12" s="64">
        <v>5090.91</v>
      </c>
      <c r="E12" s="64">
        <v>56000</v>
      </c>
      <c r="F12" s="64">
        <f>+E12-D12</f>
        <v>50909.09</v>
      </c>
      <c r="G12" s="64" t="s">
        <v>8</v>
      </c>
      <c r="H12" s="65">
        <f>+E12</f>
        <v>56000</v>
      </c>
      <c r="I12" s="65">
        <f>+H12</f>
        <v>56000</v>
      </c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49">
        <f t="shared" si="2"/>
        <v>56000</v>
      </c>
      <c r="AC12" s="49">
        <f t="shared" si="3"/>
        <v>0</v>
      </c>
      <c r="AD12" t="s">
        <v>743</v>
      </c>
    </row>
    <row r="13" spans="1:30" s="61" customFormat="1" ht="15.5">
      <c r="A13" s="64" t="s">
        <v>476</v>
      </c>
      <c r="B13" s="64" t="s">
        <v>97</v>
      </c>
      <c r="C13" s="64" t="s">
        <v>98</v>
      </c>
      <c r="D13" s="64">
        <v>18000</v>
      </c>
      <c r="E13" s="64">
        <v>198000</v>
      </c>
      <c r="F13" s="64">
        <f>+E13-D13</f>
        <v>180000</v>
      </c>
      <c r="G13" s="64" t="s">
        <v>8</v>
      </c>
      <c r="H13" s="65">
        <f>+E13</f>
        <v>198000</v>
      </c>
      <c r="I13" s="64"/>
      <c r="J13" s="64"/>
      <c r="K13" s="64"/>
      <c r="L13" s="64"/>
      <c r="M13" s="64"/>
      <c r="N13" s="64"/>
      <c r="O13" s="65">
        <f>+H13</f>
        <v>198000</v>
      </c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49">
        <f t="shared" si="2"/>
        <v>198000</v>
      </c>
      <c r="AC13" s="49">
        <f t="shared" si="3"/>
        <v>0</v>
      </c>
      <c r="AD13" t="s">
        <v>743</v>
      </c>
    </row>
    <row r="14" spans="1:30" s="61" customFormat="1" ht="15.5">
      <c r="A14" s="64" t="s">
        <v>476</v>
      </c>
      <c r="B14" s="64" t="s">
        <v>314</v>
      </c>
      <c r="C14" s="64" t="s">
        <v>315</v>
      </c>
      <c r="D14" s="64">
        <v>31972.909091000001</v>
      </c>
      <c r="E14" s="64">
        <v>351702</v>
      </c>
      <c r="F14" s="64">
        <f>+E14-D14</f>
        <v>319729.09090900002</v>
      </c>
      <c r="G14" s="64" t="s">
        <v>8</v>
      </c>
      <c r="H14" s="65">
        <f>+E14</f>
        <v>351702</v>
      </c>
      <c r="I14" s="64"/>
      <c r="J14" s="64"/>
      <c r="K14" s="65">
        <f>+H14</f>
        <v>351702</v>
      </c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49">
        <f t="shared" si="2"/>
        <v>351702</v>
      </c>
      <c r="AC14" s="49">
        <f t="shared" si="3"/>
        <v>0</v>
      </c>
      <c r="AD14" t="s">
        <v>743</v>
      </c>
    </row>
    <row r="15" spans="1:30" s="61" customFormat="1" ht="15.5">
      <c r="A15" s="64" t="s">
        <v>476</v>
      </c>
      <c r="B15" s="64" t="s">
        <v>59</v>
      </c>
      <c r="C15" s="64" t="s">
        <v>60</v>
      </c>
      <c r="D15" s="64">
        <v>0</v>
      </c>
      <c r="E15" s="64">
        <v>1744508.02</v>
      </c>
      <c r="F15" s="64">
        <f>+E15-D15</f>
        <v>1744508.02</v>
      </c>
      <c r="G15" s="64" t="s">
        <v>55</v>
      </c>
      <c r="H15" s="65">
        <f>+E15</f>
        <v>1744508.02</v>
      </c>
      <c r="I15" s="64"/>
      <c r="J15" s="65">
        <f>+H15</f>
        <v>1744508.02</v>
      </c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49">
        <f t="shared" si="2"/>
        <v>1744508.02</v>
      </c>
      <c r="AC15" s="49">
        <f t="shared" si="3"/>
        <v>0</v>
      </c>
      <c r="AD15" t="s">
        <v>743</v>
      </c>
    </row>
    <row r="16" spans="1:30" s="61" customFormat="1" ht="15.5">
      <c r="A16" s="64" t="s">
        <v>476</v>
      </c>
      <c r="B16" s="64" t="s">
        <v>991</v>
      </c>
      <c r="C16" s="64" t="s">
        <v>990</v>
      </c>
      <c r="D16" s="64"/>
      <c r="E16" s="64"/>
      <c r="F16" s="64"/>
      <c r="G16" s="64"/>
      <c r="H16" s="65">
        <v>4289850</v>
      </c>
      <c r="I16" s="64"/>
      <c r="J16" s="64">
        <f>H16</f>
        <v>4289850</v>
      </c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49">
        <f t="shared" si="2"/>
        <v>4289850</v>
      </c>
      <c r="AC16" s="49">
        <f t="shared" si="3"/>
        <v>0</v>
      </c>
      <c r="AD16"/>
    </row>
    <row r="17" spans="1:30" s="61" customFormat="1" ht="15.5">
      <c r="A17" s="64" t="s">
        <v>475</v>
      </c>
      <c r="B17" s="64" t="s">
        <v>156</v>
      </c>
      <c r="C17" s="64" t="s">
        <v>157</v>
      </c>
      <c r="D17" s="64">
        <v>9090.91</v>
      </c>
      <c r="E17" s="64">
        <v>100000</v>
      </c>
      <c r="F17" s="64">
        <f>+E17-D17</f>
        <v>90909.09</v>
      </c>
      <c r="G17" s="64" t="s">
        <v>8</v>
      </c>
      <c r="H17" s="65">
        <f>+E17</f>
        <v>100000</v>
      </c>
      <c r="I17" s="65">
        <f>+H17</f>
        <v>100000</v>
      </c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49">
        <f t="shared" si="2"/>
        <v>100000</v>
      </c>
      <c r="AC17" s="49">
        <f t="shared" si="3"/>
        <v>0</v>
      </c>
      <c r="AD17" t="s">
        <v>743</v>
      </c>
    </row>
    <row r="18" spans="1:30" s="61" customFormat="1" ht="15.5">
      <c r="A18" s="64" t="s">
        <v>472</v>
      </c>
      <c r="B18" s="64" t="s">
        <v>103</v>
      </c>
      <c r="C18" s="64" t="s">
        <v>104</v>
      </c>
      <c r="D18" s="64">
        <v>6818.18</v>
      </c>
      <c r="E18" s="64">
        <v>75000</v>
      </c>
      <c r="F18" s="64">
        <f>+E18-D18</f>
        <v>68181.820000000007</v>
      </c>
      <c r="G18" s="64" t="s">
        <v>8</v>
      </c>
      <c r="H18" s="65">
        <f>+E18</f>
        <v>75000</v>
      </c>
      <c r="I18" s="65">
        <f>+H18</f>
        <v>75000</v>
      </c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49">
        <f t="shared" si="2"/>
        <v>75000</v>
      </c>
      <c r="AC18" s="49">
        <f t="shared" si="3"/>
        <v>0</v>
      </c>
      <c r="AD18" t="s">
        <v>743</v>
      </c>
    </row>
    <row r="19" spans="1:30" s="61" customFormat="1" ht="15.5">
      <c r="A19" s="64" t="s">
        <v>472</v>
      </c>
      <c r="B19" s="64" t="s">
        <v>473</v>
      </c>
      <c r="C19" s="64" t="s">
        <v>474</v>
      </c>
      <c r="D19" s="64">
        <v>238803.571428</v>
      </c>
      <c r="E19" s="64">
        <v>2674600</v>
      </c>
      <c r="F19" s="64">
        <f>+E19-D19</f>
        <v>2435796.428572</v>
      </c>
      <c r="G19" s="64" t="s">
        <v>8</v>
      </c>
      <c r="H19" s="65">
        <f>+E19</f>
        <v>2674600</v>
      </c>
      <c r="I19" s="64"/>
      <c r="J19" s="64"/>
      <c r="K19" s="64"/>
      <c r="L19" s="64"/>
      <c r="M19" s="64"/>
      <c r="N19" s="64"/>
      <c r="O19" s="65">
        <f>+H19</f>
        <v>2674600</v>
      </c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49">
        <f t="shared" si="2"/>
        <v>2674600</v>
      </c>
      <c r="AC19" s="49">
        <f t="shared" si="3"/>
        <v>0</v>
      </c>
      <c r="AD19" t="s">
        <v>743</v>
      </c>
    </row>
    <row r="20" spans="1:30" s="61" customFormat="1" ht="15.5">
      <c r="A20" s="64" t="s">
        <v>467</v>
      </c>
      <c r="B20" s="64" t="s">
        <v>995</v>
      </c>
      <c r="C20" s="64" t="s">
        <v>994</v>
      </c>
      <c r="D20" s="64"/>
      <c r="E20" s="64"/>
      <c r="F20" s="64"/>
      <c r="G20" s="64"/>
      <c r="H20" s="65">
        <v>200</v>
      </c>
      <c r="I20" s="64">
        <f t="shared" ref="I20:I26" si="4">+H20</f>
        <v>200</v>
      </c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49">
        <f t="shared" si="2"/>
        <v>200</v>
      </c>
      <c r="AC20" s="49">
        <f t="shared" si="3"/>
        <v>0</v>
      </c>
      <c r="AD20"/>
    </row>
    <row r="21" spans="1:30" s="61" customFormat="1" ht="15.5">
      <c r="A21" s="64" t="s">
        <v>467</v>
      </c>
      <c r="B21" s="64" t="s">
        <v>998</v>
      </c>
      <c r="C21" s="64" t="s">
        <v>997</v>
      </c>
      <c r="D21" s="64"/>
      <c r="E21" s="64"/>
      <c r="F21" s="64"/>
      <c r="G21" s="64"/>
      <c r="H21" s="65">
        <v>200</v>
      </c>
      <c r="I21" s="64">
        <f t="shared" si="4"/>
        <v>200</v>
      </c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49">
        <f t="shared" si="2"/>
        <v>200</v>
      </c>
      <c r="AC21" s="49">
        <f t="shared" si="3"/>
        <v>0</v>
      </c>
      <c r="AD21"/>
    </row>
    <row r="22" spans="1:30" s="61" customFormat="1" ht="15.5">
      <c r="A22" s="64" t="s">
        <v>467</v>
      </c>
      <c r="B22" s="64" t="s">
        <v>1001</v>
      </c>
      <c r="C22" s="64" t="s">
        <v>1000</v>
      </c>
      <c r="D22" s="64"/>
      <c r="E22" s="64"/>
      <c r="F22" s="64"/>
      <c r="G22" s="64"/>
      <c r="H22" s="65">
        <v>200</v>
      </c>
      <c r="I22" s="64">
        <f t="shared" si="4"/>
        <v>200</v>
      </c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49">
        <f t="shared" si="2"/>
        <v>200</v>
      </c>
      <c r="AC22" s="49">
        <f t="shared" si="3"/>
        <v>0</v>
      </c>
      <c r="AD22"/>
    </row>
    <row r="23" spans="1:30" s="61" customFormat="1" ht="15.5">
      <c r="A23" s="64" t="s">
        <v>467</v>
      </c>
      <c r="B23" s="64" t="s">
        <v>1001</v>
      </c>
      <c r="C23" s="64" t="s">
        <v>1002</v>
      </c>
      <c r="D23" s="64"/>
      <c r="E23" s="64"/>
      <c r="F23" s="64"/>
      <c r="G23" s="64"/>
      <c r="H23" s="65">
        <v>200</v>
      </c>
      <c r="I23" s="64">
        <f t="shared" si="4"/>
        <v>200</v>
      </c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49">
        <f t="shared" si="2"/>
        <v>200</v>
      </c>
      <c r="AC23" s="49">
        <f t="shared" si="3"/>
        <v>0</v>
      </c>
      <c r="AD23"/>
    </row>
    <row r="24" spans="1:30" s="61" customFormat="1" ht="15.5">
      <c r="A24" s="64" t="s">
        <v>467</v>
      </c>
      <c r="B24" s="64" t="s">
        <v>1001</v>
      </c>
      <c r="C24" s="64" t="s">
        <v>1003</v>
      </c>
      <c r="D24" s="64"/>
      <c r="E24" s="64"/>
      <c r="F24" s="64"/>
      <c r="G24" s="64"/>
      <c r="H24" s="65">
        <v>200</v>
      </c>
      <c r="I24" s="64">
        <f t="shared" si="4"/>
        <v>200</v>
      </c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49">
        <f t="shared" si="2"/>
        <v>200</v>
      </c>
      <c r="AC24" s="49">
        <f t="shared" si="3"/>
        <v>0</v>
      </c>
      <c r="AD24"/>
    </row>
    <row r="25" spans="1:30" s="61" customFormat="1" ht="15.5">
      <c r="A25" s="64" t="s">
        <v>467</v>
      </c>
      <c r="B25" s="64" t="s">
        <v>1001</v>
      </c>
      <c r="C25" s="64" t="s">
        <v>1004</v>
      </c>
      <c r="D25" s="64"/>
      <c r="E25" s="64"/>
      <c r="F25" s="64"/>
      <c r="G25" s="64"/>
      <c r="H25" s="65">
        <v>200</v>
      </c>
      <c r="I25" s="64">
        <f t="shared" si="4"/>
        <v>200</v>
      </c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49">
        <f t="shared" si="2"/>
        <v>200</v>
      </c>
      <c r="AC25" s="49">
        <f t="shared" si="3"/>
        <v>0</v>
      </c>
      <c r="AD25"/>
    </row>
    <row r="26" spans="1:30" s="61" customFormat="1" ht="15.5">
      <c r="A26" s="64" t="s">
        <v>467</v>
      </c>
      <c r="B26" s="64" t="s">
        <v>1001</v>
      </c>
      <c r="C26" s="64" t="s">
        <v>1005</v>
      </c>
      <c r="D26" s="64"/>
      <c r="E26" s="64"/>
      <c r="F26" s="64"/>
      <c r="G26" s="64"/>
      <c r="H26" s="65">
        <v>200</v>
      </c>
      <c r="I26" s="64">
        <f t="shared" si="4"/>
        <v>200</v>
      </c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49">
        <f t="shared" si="2"/>
        <v>200</v>
      </c>
      <c r="AC26" s="49">
        <f t="shared" si="3"/>
        <v>0</v>
      </c>
      <c r="AD26"/>
    </row>
    <row r="27" spans="1:30" s="61" customFormat="1" ht="15.5">
      <c r="A27" s="64" t="s">
        <v>467</v>
      </c>
      <c r="B27" s="64" t="s">
        <v>468</v>
      </c>
      <c r="C27" s="64" t="s">
        <v>469</v>
      </c>
      <c r="D27" s="64">
        <v>318.18181800000002</v>
      </c>
      <c r="E27" s="64">
        <v>3500</v>
      </c>
      <c r="F27" s="64">
        <f>+E27-D27</f>
        <v>3181.818182</v>
      </c>
      <c r="G27" s="64" t="s">
        <v>8</v>
      </c>
      <c r="H27" s="65">
        <f>+E27</f>
        <v>3500</v>
      </c>
      <c r="I27" s="64"/>
      <c r="J27" s="64"/>
      <c r="K27" s="65">
        <f>+H27</f>
        <v>3500</v>
      </c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49">
        <f t="shared" si="2"/>
        <v>3500</v>
      </c>
      <c r="AC27" s="49">
        <f t="shared" si="3"/>
        <v>0</v>
      </c>
      <c r="AD27" t="s">
        <v>743</v>
      </c>
    </row>
    <row r="28" spans="1:30" s="61" customFormat="1" ht="15.5">
      <c r="A28" s="64" t="s">
        <v>467</v>
      </c>
      <c r="B28" s="64" t="s">
        <v>998</v>
      </c>
      <c r="C28" s="64" t="s">
        <v>999</v>
      </c>
      <c r="D28" s="64"/>
      <c r="E28" s="64"/>
      <c r="F28" s="64"/>
      <c r="G28" s="64"/>
      <c r="H28" s="65">
        <v>3500</v>
      </c>
      <c r="I28" s="64">
        <v>3500</v>
      </c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49">
        <f t="shared" si="2"/>
        <v>3500</v>
      </c>
      <c r="AC28" s="49">
        <f t="shared" si="3"/>
        <v>0</v>
      </c>
      <c r="AD28"/>
    </row>
    <row r="29" spans="1:30" s="61" customFormat="1" ht="15.5">
      <c r="A29" s="64" t="s">
        <v>467</v>
      </c>
      <c r="B29" s="64" t="s">
        <v>304</v>
      </c>
      <c r="C29" s="64" t="s">
        <v>305</v>
      </c>
      <c r="D29" s="64">
        <v>9090.91</v>
      </c>
      <c r="E29" s="64">
        <v>100000</v>
      </c>
      <c r="F29" s="64">
        <f>+E29-D29</f>
        <v>90909.09</v>
      </c>
      <c r="G29" s="64" t="s">
        <v>8</v>
      </c>
      <c r="H29" s="65">
        <f>+E29</f>
        <v>100000</v>
      </c>
      <c r="I29" s="65">
        <f>+H29</f>
        <v>100000</v>
      </c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49">
        <f t="shared" si="2"/>
        <v>100000</v>
      </c>
      <c r="AC29" s="49">
        <f t="shared" si="3"/>
        <v>0</v>
      </c>
      <c r="AD29" t="s">
        <v>743</v>
      </c>
    </row>
    <row r="30" spans="1:30" s="61" customFormat="1" ht="15.5">
      <c r="A30" s="64" t="s">
        <v>467</v>
      </c>
      <c r="B30" s="64" t="s">
        <v>470</v>
      </c>
      <c r="C30" s="64" t="s">
        <v>471</v>
      </c>
      <c r="D30" s="64">
        <v>0</v>
      </c>
      <c r="E30" s="64">
        <v>121500</v>
      </c>
      <c r="F30" s="64">
        <f>+E30-D30</f>
        <v>121500</v>
      </c>
      <c r="G30" s="64" t="s">
        <v>8</v>
      </c>
      <c r="H30" s="65">
        <f>+E30</f>
        <v>121500</v>
      </c>
      <c r="I30" s="64"/>
      <c r="J30" s="64"/>
      <c r="K30" s="64"/>
      <c r="L30" s="64"/>
      <c r="M30" s="64"/>
      <c r="N30" s="64"/>
      <c r="O30" s="65">
        <f>+H30</f>
        <v>121500</v>
      </c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49">
        <f t="shared" si="2"/>
        <v>121500</v>
      </c>
      <c r="AC30" s="49">
        <f t="shared" si="3"/>
        <v>0</v>
      </c>
      <c r="AD30" t="s">
        <v>743</v>
      </c>
    </row>
    <row r="31" spans="1:30" s="61" customFormat="1" ht="15.5">
      <c r="A31" s="64" t="s">
        <v>467</v>
      </c>
      <c r="B31" s="64" t="s">
        <v>995</v>
      </c>
      <c r="C31" s="64" t="s">
        <v>996</v>
      </c>
      <c r="D31" s="64"/>
      <c r="E31" s="64"/>
      <c r="F31" s="64"/>
      <c r="G31" s="64"/>
      <c r="H31" s="65">
        <v>500000</v>
      </c>
      <c r="I31" s="64"/>
      <c r="J31" s="64"/>
      <c r="K31" s="64"/>
      <c r="L31" s="64"/>
      <c r="M31" s="64"/>
      <c r="N31" s="64">
        <v>500000</v>
      </c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49">
        <f t="shared" si="2"/>
        <v>500000</v>
      </c>
      <c r="AC31" s="49">
        <f t="shared" si="3"/>
        <v>0</v>
      </c>
      <c r="AD31"/>
    </row>
    <row r="32" spans="1:30" s="61" customFormat="1" ht="15.5">
      <c r="A32" s="64" t="s">
        <v>462</v>
      </c>
      <c r="B32" s="64" t="s">
        <v>1007</v>
      </c>
      <c r="C32" s="64" t="s">
        <v>1006</v>
      </c>
      <c r="D32" s="64"/>
      <c r="E32" s="64"/>
      <c r="F32" s="64"/>
      <c r="G32" s="64"/>
      <c r="H32" s="65">
        <v>200</v>
      </c>
      <c r="I32" s="64">
        <f t="shared" ref="I32:I47" si="5">+H32</f>
        <v>200</v>
      </c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49">
        <f t="shared" si="2"/>
        <v>200</v>
      </c>
      <c r="AC32" s="49">
        <f t="shared" si="3"/>
        <v>0</v>
      </c>
      <c r="AD32"/>
    </row>
    <row r="33" spans="1:30" s="61" customFormat="1" ht="15.5">
      <c r="A33" s="64" t="s">
        <v>462</v>
      </c>
      <c r="B33" s="64" t="s">
        <v>1009</v>
      </c>
      <c r="C33" s="64" t="s">
        <v>1008</v>
      </c>
      <c r="D33" s="64"/>
      <c r="E33" s="64"/>
      <c r="F33" s="64"/>
      <c r="G33" s="64"/>
      <c r="H33" s="65">
        <v>200</v>
      </c>
      <c r="I33" s="64">
        <f t="shared" si="5"/>
        <v>200</v>
      </c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49">
        <f t="shared" si="2"/>
        <v>200</v>
      </c>
      <c r="AC33" s="49">
        <f t="shared" si="3"/>
        <v>0</v>
      </c>
      <c r="AD33"/>
    </row>
    <row r="34" spans="1:30" s="61" customFormat="1" ht="15.5">
      <c r="A34" s="64" t="s">
        <v>462</v>
      </c>
      <c r="B34" s="64" t="s">
        <v>1012</v>
      </c>
      <c r="C34" s="64" t="s">
        <v>1011</v>
      </c>
      <c r="D34" s="64"/>
      <c r="E34" s="64"/>
      <c r="F34" s="64"/>
      <c r="G34" s="64"/>
      <c r="H34" s="65">
        <v>200</v>
      </c>
      <c r="I34" s="64">
        <f t="shared" si="5"/>
        <v>200</v>
      </c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49">
        <f t="shared" si="2"/>
        <v>200</v>
      </c>
      <c r="AC34" s="49">
        <f t="shared" si="3"/>
        <v>0</v>
      </c>
      <c r="AD34"/>
    </row>
    <row r="35" spans="1:30" s="61" customFormat="1" ht="15.5">
      <c r="A35" s="64" t="s">
        <v>462</v>
      </c>
      <c r="B35" s="64" t="s">
        <v>991</v>
      </c>
      <c r="C35" s="64" t="s">
        <v>1014</v>
      </c>
      <c r="D35" s="64"/>
      <c r="E35" s="64"/>
      <c r="F35" s="64"/>
      <c r="G35" s="64"/>
      <c r="H35" s="65">
        <v>200</v>
      </c>
      <c r="I35" s="64">
        <f t="shared" si="5"/>
        <v>200</v>
      </c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49">
        <f t="shared" si="2"/>
        <v>200</v>
      </c>
      <c r="AC35" s="49">
        <f t="shared" si="3"/>
        <v>0</v>
      </c>
      <c r="AD35"/>
    </row>
    <row r="36" spans="1:30" s="61" customFormat="1" ht="15.5">
      <c r="A36" s="64" t="s">
        <v>462</v>
      </c>
      <c r="B36" s="64" t="s">
        <v>1017</v>
      </c>
      <c r="C36" s="64" t="s">
        <v>1016</v>
      </c>
      <c r="D36" s="64"/>
      <c r="E36" s="64"/>
      <c r="F36" s="64"/>
      <c r="G36" s="64"/>
      <c r="H36" s="65">
        <v>200</v>
      </c>
      <c r="I36" s="64">
        <f t="shared" si="5"/>
        <v>200</v>
      </c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49">
        <f t="shared" si="2"/>
        <v>200</v>
      </c>
      <c r="AC36" s="49">
        <f t="shared" si="3"/>
        <v>0</v>
      </c>
      <c r="AD36"/>
    </row>
    <row r="37" spans="1:30" s="61" customFormat="1" ht="15.5">
      <c r="A37" s="64" t="s">
        <v>462</v>
      </c>
      <c r="B37" s="64" t="s">
        <v>1020</v>
      </c>
      <c r="C37" s="64" t="s">
        <v>1019</v>
      </c>
      <c r="D37" s="64"/>
      <c r="E37" s="64"/>
      <c r="F37" s="64"/>
      <c r="G37" s="64"/>
      <c r="H37" s="65">
        <v>200</v>
      </c>
      <c r="I37" s="64">
        <f t="shared" si="5"/>
        <v>200</v>
      </c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49">
        <f t="shared" si="2"/>
        <v>200</v>
      </c>
      <c r="AC37" s="49">
        <f t="shared" si="3"/>
        <v>0</v>
      </c>
      <c r="AD37"/>
    </row>
    <row r="38" spans="1:30" s="61" customFormat="1" ht="15.5">
      <c r="A38" s="64" t="s">
        <v>462</v>
      </c>
      <c r="B38" s="64" t="s">
        <v>1022</v>
      </c>
      <c r="C38" s="64" t="s">
        <v>1021</v>
      </c>
      <c r="D38" s="64"/>
      <c r="E38" s="64"/>
      <c r="F38" s="64"/>
      <c r="G38" s="64"/>
      <c r="H38" s="65">
        <v>200</v>
      </c>
      <c r="I38" s="64">
        <f t="shared" si="5"/>
        <v>200</v>
      </c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49">
        <f t="shared" ref="AB38:AB65" si="6">SUM(I38:AA38)</f>
        <v>200</v>
      </c>
      <c r="AC38" s="49">
        <f t="shared" si="3"/>
        <v>0</v>
      </c>
      <c r="AD38"/>
    </row>
    <row r="39" spans="1:30" s="61" customFormat="1" ht="15.5">
      <c r="A39" s="64" t="s">
        <v>462</v>
      </c>
      <c r="B39" s="64" t="s">
        <v>1024</v>
      </c>
      <c r="C39" s="64" t="s">
        <v>1023</v>
      </c>
      <c r="D39" s="64"/>
      <c r="E39" s="64"/>
      <c r="F39" s="64"/>
      <c r="G39" s="64"/>
      <c r="H39" s="65">
        <v>200</v>
      </c>
      <c r="I39" s="64">
        <f t="shared" si="5"/>
        <v>200</v>
      </c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49">
        <f t="shared" si="6"/>
        <v>200</v>
      </c>
      <c r="AC39" s="49">
        <f t="shared" si="3"/>
        <v>0</v>
      </c>
      <c r="AD39"/>
    </row>
    <row r="40" spans="1:30" s="61" customFormat="1" ht="15.5">
      <c r="A40" s="64" t="s">
        <v>462</v>
      </c>
      <c r="B40" s="64" t="s">
        <v>1026</v>
      </c>
      <c r="C40" s="64" t="s">
        <v>1025</v>
      </c>
      <c r="D40" s="64"/>
      <c r="E40" s="64"/>
      <c r="F40" s="64"/>
      <c r="G40" s="64"/>
      <c r="H40" s="65">
        <v>200</v>
      </c>
      <c r="I40" s="64">
        <f t="shared" si="5"/>
        <v>200</v>
      </c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49">
        <f t="shared" si="6"/>
        <v>200</v>
      </c>
      <c r="AC40" s="49">
        <f t="shared" si="3"/>
        <v>0</v>
      </c>
      <c r="AD40"/>
    </row>
    <row r="41" spans="1:30" s="61" customFormat="1" ht="15.5">
      <c r="A41" s="64" t="s">
        <v>462</v>
      </c>
      <c r="B41" s="64" t="s">
        <v>1028</v>
      </c>
      <c r="C41" s="64" t="s">
        <v>1027</v>
      </c>
      <c r="D41" s="64"/>
      <c r="E41" s="64"/>
      <c r="F41" s="64"/>
      <c r="G41" s="64"/>
      <c r="H41" s="65">
        <v>200</v>
      </c>
      <c r="I41" s="64">
        <f t="shared" si="5"/>
        <v>200</v>
      </c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49">
        <f t="shared" si="6"/>
        <v>200</v>
      </c>
      <c r="AC41" s="49">
        <f t="shared" si="3"/>
        <v>0</v>
      </c>
      <c r="AD41"/>
    </row>
    <row r="42" spans="1:30" s="61" customFormat="1" ht="15.5">
      <c r="A42" s="64" t="s">
        <v>462</v>
      </c>
      <c r="B42" s="64" t="s">
        <v>1030</v>
      </c>
      <c r="C42" s="64" t="s">
        <v>1029</v>
      </c>
      <c r="D42" s="64"/>
      <c r="E42" s="64"/>
      <c r="F42" s="64"/>
      <c r="G42" s="64"/>
      <c r="H42" s="65">
        <v>200</v>
      </c>
      <c r="I42" s="64">
        <f t="shared" si="5"/>
        <v>200</v>
      </c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49">
        <f t="shared" si="6"/>
        <v>200</v>
      </c>
      <c r="AC42" s="49">
        <f t="shared" si="3"/>
        <v>0</v>
      </c>
      <c r="AD42"/>
    </row>
    <row r="43" spans="1:30" s="61" customFormat="1" ht="15.5">
      <c r="A43" s="64" t="s">
        <v>462</v>
      </c>
      <c r="B43" s="64" t="s">
        <v>1032</v>
      </c>
      <c r="C43" s="64" t="s">
        <v>1031</v>
      </c>
      <c r="D43" s="64"/>
      <c r="E43" s="64"/>
      <c r="F43" s="64"/>
      <c r="G43" s="64"/>
      <c r="H43" s="65">
        <v>200</v>
      </c>
      <c r="I43" s="64">
        <f t="shared" si="5"/>
        <v>200</v>
      </c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49">
        <f t="shared" si="6"/>
        <v>200</v>
      </c>
      <c r="AC43" s="49">
        <f t="shared" si="3"/>
        <v>0</v>
      </c>
      <c r="AD43"/>
    </row>
    <row r="44" spans="1:30" s="61" customFormat="1" ht="15.5">
      <c r="A44" s="64" t="s">
        <v>462</v>
      </c>
      <c r="B44" s="64" t="s">
        <v>1034</v>
      </c>
      <c r="C44" s="64" t="s">
        <v>1033</v>
      </c>
      <c r="D44" s="64"/>
      <c r="E44" s="64"/>
      <c r="F44" s="64"/>
      <c r="G44" s="64"/>
      <c r="H44" s="65">
        <v>200</v>
      </c>
      <c r="I44" s="64">
        <f t="shared" si="5"/>
        <v>200</v>
      </c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49">
        <f t="shared" si="6"/>
        <v>200</v>
      </c>
      <c r="AC44" s="49">
        <f t="shared" si="3"/>
        <v>0</v>
      </c>
      <c r="AD44"/>
    </row>
    <row r="45" spans="1:30" s="61" customFormat="1" ht="15.5">
      <c r="A45" s="64" t="s">
        <v>462</v>
      </c>
      <c r="B45" s="64" t="s">
        <v>1036</v>
      </c>
      <c r="C45" s="64" t="s">
        <v>1035</v>
      </c>
      <c r="D45" s="64"/>
      <c r="E45" s="64"/>
      <c r="F45" s="64"/>
      <c r="G45" s="64"/>
      <c r="H45" s="65">
        <v>200</v>
      </c>
      <c r="I45" s="64">
        <f t="shared" si="5"/>
        <v>200</v>
      </c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49">
        <f t="shared" si="6"/>
        <v>200</v>
      </c>
      <c r="AC45" s="49">
        <f t="shared" si="3"/>
        <v>0</v>
      </c>
      <c r="AD45"/>
    </row>
    <row r="46" spans="1:30" s="61" customFormat="1" ht="15.5">
      <c r="A46" s="64" t="s">
        <v>462</v>
      </c>
      <c r="B46" s="64" t="s">
        <v>1038</v>
      </c>
      <c r="C46" s="64" t="s">
        <v>1037</v>
      </c>
      <c r="D46" s="64"/>
      <c r="E46" s="64"/>
      <c r="F46" s="64"/>
      <c r="G46" s="64"/>
      <c r="H46" s="65">
        <v>200</v>
      </c>
      <c r="I46" s="64">
        <f t="shared" si="5"/>
        <v>200</v>
      </c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49">
        <f t="shared" si="6"/>
        <v>200</v>
      </c>
      <c r="AC46" s="49">
        <f t="shared" si="3"/>
        <v>0</v>
      </c>
      <c r="AD46"/>
    </row>
    <row r="47" spans="1:30" s="61" customFormat="1" ht="15.5">
      <c r="A47" s="64" t="s">
        <v>462</v>
      </c>
      <c r="B47" s="64" t="s">
        <v>1040</v>
      </c>
      <c r="C47" s="64" t="s">
        <v>1039</v>
      </c>
      <c r="D47" s="64"/>
      <c r="E47" s="64"/>
      <c r="F47" s="64"/>
      <c r="G47" s="64"/>
      <c r="H47" s="65">
        <v>200</v>
      </c>
      <c r="I47" s="64">
        <f t="shared" si="5"/>
        <v>200</v>
      </c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49">
        <f t="shared" si="6"/>
        <v>200</v>
      </c>
      <c r="AC47" s="49">
        <f t="shared" si="3"/>
        <v>0</v>
      </c>
      <c r="AD47"/>
    </row>
    <row r="48" spans="1:30" s="61" customFormat="1" ht="15.5">
      <c r="A48" s="64" t="s">
        <v>462</v>
      </c>
      <c r="B48" s="64" t="s">
        <v>1009</v>
      </c>
      <c r="C48" s="64" t="s">
        <v>1010</v>
      </c>
      <c r="D48" s="64"/>
      <c r="E48" s="64"/>
      <c r="F48" s="64"/>
      <c r="G48" s="64"/>
      <c r="H48" s="65">
        <v>15000</v>
      </c>
      <c r="I48" s="64"/>
      <c r="J48" s="64"/>
      <c r="K48" s="64"/>
      <c r="L48" s="64"/>
      <c r="M48" s="64"/>
      <c r="N48" s="64">
        <v>15000</v>
      </c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49">
        <f t="shared" si="6"/>
        <v>15000</v>
      </c>
      <c r="AC48" s="49">
        <f t="shared" si="3"/>
        <v>0</v>
      </c>
      <c r="AD48"/>
    </row>
    <row r="49" spans="1:30" s="61" customFormat="1" ht="15.5">
      <c r="A49" s="64" t="s">
        <v>462</v>
      </c>
      <c r="B49" s="64" t="s">
        <v>463</v>
      </c>
      <c r="C49" s="64" t="s">
        <v>464</v>
      </c>
      <c r="D49" s="64">
        <v>2152.91</v>
      </c>
      <c r="E49" s="64">
        <v>23682</v>
      </c>
      <c r="F49" s="64">
        <f t="shared" ref="F49:F54" si="7">+E49-D49</f>
        <v>21529.09</v>
      </c>
      <c r="G49" s="64" t="s">
        <v>8</v>
      </c>
      <c r="H49" s="65">
        <f t="shared" ref="H49:H54" si="8">+E49</f>
        <v>23682</v>
      </c>
      <c r="I49" s="64"/>
      <c r="J49" s="64"/>
      <c r="K49" s="65">
        <f>+H49</f>
        <v>23682</v>
      </c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49">
        <f t="shared" si="6"/>
        <v>23682</v>
      </c>
      <c r="AC49" s="49">
        <f t="shared" si="3"/>
        <v>0</v>
      </c>
      <c r="AD49" t="s">
        <v>743</v>
      </c>
    </row>
    <row r="50" spans="1:30" s="61" customFormat="1" ht="15.5">
      <c r="A50" s="64" t="s">
        <v>462</v>
      </c>
      <c r="B50" s="64" t="s">
        <v>103</v>
      </c>
      <c r="C50" s="64" t="s">
        <v>104</v>
      </c>
      <c r="D50" s="64">
        <v>2363.64</v>
      </c>
      <c r="E50" s="64">
        <v>26000</v>
      </c>
      <c r="F50" s="64">
        <f t="shared" si="7"/>
        <v>23636.36</v>
      </c>
      <c r="G50" s="64" t="s">
        <v>8</v>
      </c>
      <c r="H50" s="65">
        <f t="shared" si="8"/>
        <v>26000</v>
      </c>
      <c r="I50" s="64"/>
      <c r="J50" s="64"/>
      <c r="K50" s="64"/>
      <c r="L50" s="64"/>
      <c r="M50" s="64"/>
      <c r="N50" s="64"/>
      <c r="O50" s="64"/>
      <c r="P50" s="64">
        <v>26000</v>
      </c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49">
        <f t="shared" si="6"/>
        <v>26000</v>
      </c>
      <c r="AC50" s="49">
        <f t="shared" si="3"/>
        <v>0</v>
      </c>
      <c r="AD50" t="s">
        <v>743</v>
      </c>
    </row>
    <row r="51" spans="1:30" s="61" customFormat="1" ht="15.5">
      <c r="A51" s="64" t="s">
        <v>462</v>
      </c>
      <c r="B51" s="64" t="s">
        <v>103</v>
      </c>
      <c r="C51" s="64" t="s">
        <v>104</v>
      </c>
      <c r="D51" s="64">
        <v>3027.27</v>
      </c>
      <c r="E51" s="64">
        <v>33300</v>
      </c>
      <c r="F51" s="64">
        <f t="shared" si="7"/>
        <v>30272.73</v>
      </c>
      <c r="G51" s="64" t="s">
        <v>8</v>
      </c>
      <c r="H51" s="65">
        <f t="shared" si="8"/>
        <v>33300</v>
      </c>
      <c r="I51" s="65">
        <f>+H51</f>
        <v>33300</v>
      </c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49">
        <f t="shared" si="6"/>
        <v>33300</v>
      </c>
      <c r="AC51" s="49">
        <f t="shared" si="3"/>
        <v>0</v>
      </c>
      <c r="AD51" t="s">
        <v>743</v>
      </c>
    </row>
    <row r="52" spans="1:30" s="61" customFormat="1" ht="15.5">
      <c r="A52" s="64" t="s">
        <v>462</v>
      </c>
      <c r="B52" s="64" t="s">
        <v>245</v>
      </c>
      <c r="C52" s="64" t="s">
        <v>246</v>
      </c>
      <c r="D52" s="64">
        <v>6493.18</v>
      </c>
      <c r="E52" s="64">
        <v>71425</v>
      </c>
      <c r="F52" s="64">
        <f t="shared" si="7"/>
        <v>64931.82</v>
      </c>
      <c r="G52" s="64" t="s">
        <v>8</v>
      </c>
      <c r="H52" s="65">
        <f t="shared" si="8"/>
        <v>71425</v>
      </c>
      <c r="I52" s="65">
        <f>+H52</f>
        <v>71425</v>
      </c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49">
        <f t="shared" si="6"/>
        <v>71425</v>
      </c>
      <c r="AC52" s="49">
        <f t="shared" si="3"/>
        <v>0</v>
      </c>
      <c r="AD52" t="s">
        <v>743</v>
      </c>
    </row>
    <row r="53" spans="1:30" s="61" customFormat="1" ht="15.5">
      <c r="A53" s="64" t="s">
        <v>462</v>
      </c>
      <c r="B53" s="64" t="s">
        <v>247</v>
      </c>
      <c r="C53" s="64" t="s">
        <v>248</v>
      </c>
      <c r="D53" s="64">
        <v>7765.45</v>
      </c>
      <c r="E53" s="64">
        <v>85420</v>
      </c>
      <c r="F53" s="64">
        <f t="shared" si="7"/>
        <v>77654.55</v>
      </c>
      <c r="G53" s="64" t="s">
        <v>8</v>
      </c>
      <c r="H53" s="65">
        <f t="shared" si="8"/>
        <v>85420</v>
      </c>
      <c r="I53" s="64"/>
      <c r="J53" s="64"/>
      <c r="K53" s="65">
        <f>+H53</f>
        <v>85420</v>
      </c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49">
        <f t="shared" si="6"/>
        <v>85420</v>
      </c>
      <c r="AC53" s="49">
        <f t="shared" si="3"/>
        <v>0</v>
      </c>
      <c r="AD53" t="s">
        <v>743</v>
      </c>
    </row>
    <row r="54" spans="1:30" s="61" customFormat="1" ht="15.5">
      <c r="A54" s="64" t="s">
        <v>462</v>
      </c>
      <c r="B54" s="64" t="s">
        <v>465</v>
      </c>
      <c r="C54" s="64" t="s">
        <v>466</v>
      </c>
      <c r="D54" s="64">
        <v>0</v>
      </c>
      <c r="E54" s="64">
        <v>225150</v>
      </c>
      <c r="F54" s="64">
        <f t="shared" si="7"/>
        <v>225150</v>
      </c>
      <c r="G54" s="64" t="s">
        <v>8</v>
      </c>
      <c r="H54" s="65">
        <f t="shared" si="8"/>
        <v>225150</v>
      </c>
      <c r="I54" s="64"/>
      <c r="J54" s="64"/>
      <c r="K54" s="64"/>
      <c r="L54" s="64"/>
      <c r="M54" s="65">
        <f>+H54</f>
        <v>225150</v>
      </c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49">
        <f t="shared" si="6"/>
        <v>225150</v>
      </c>
      <c r="AC54" s="49">
        <f t="shared" si="3"/>
        <v>0</v>
      </c>
      <c r="AD54" t="s">
        <v>743</v>
      </c>
    </row>
    <row r="55" spans="1:30" s="61" customFormat="1" ht="15.5">
      <c r="A55" s="64" t="s">
        <v>462</v>
      </c>
      <c r="B55" s="64" t="s">
        <v>991</v>
      </c>
      <c r="C55" s="64" t="s">
        <v>1015</v>
      </c>
      <c r="D55" s="64"/>
      <c r="E55" s="64"/>
      <c r="F55" s="64"/>
      <c r="G55" s="64"/>
      <c r="H55" s="65">
        <v>580000</v>
      </c>
      <c r="I55" s="64"/>
      <c r="J55" s="64">
        <v>580000</v>
      </c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49">
        <f t="shared" si="6"/>
        <v>580000</v>
      </c>
      <c r="AC55" s="49">
        <f t="shared" si="3"/>
        <v>0</v>
      </c>
      <c r="AD55"/>
    </row>
    <row r="56" spans="1:30" s="61" customFormat="1" ht="15.5">
      <c r="A56" s="64" t="s">
        <v>462</v>
      </c>
      <c r="B56" s="64" t="s">
        <v>1012</v>
      </c>
      <c r="C56" s="64" t="s">
        <v>1013</v>
      </c>
      <c r="D56" s="64"/>
      <c r="E56" s="64"/>
      <c r="F56" s="64"/>
      <c r="G56" s="64"/>
      <c r="H56" s="65">
        <v>750000</v>
      </c>
      <c r="I56" s="64"/>
      <c r="J56" s="64"/>
      <c r="K56" s="64">
        <v>750000</v>
      </c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49">
        <f t="shared" si="6"/>
        <v>750000</v>
      </c>
      <c r="AC56" s="49">
        <f t="shared" si="3"/>
        <v>0</v>
      </c>
      <c r="AD56"/>
    </row>
    <row r="57" spans="1:30" s="61" customFormat="1" ht="15.5">
      <c r="A57" s="64" t="s">
        <v>462</v>
      </c>
      <c r="B57" s="64" t="s">
        <v>1017</v>
      </c>
      <c r="C57" s="64" t="s">
        <v>1018</v>
      </c>
      <c r="D57" s="64"/>
      <c r="E57" s="64"/>
      <c r="F57" s="64"/>
      <c r="G57" s="64"/>
      <c r="H57" s="65">
        <v>3160000</v>
      </c>
      <c r="I57" s="64"/>
      <c r="J57" s="64">
        <v>3160000</v>
      </c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49">
        <f t="shared" si="6"/>
        <v>3160000</v>
      </c>
      <c r="AC57" s="49">
        <f t="shared" si="3"/>
        <v>0</v>
      </c>
      <c r="AD57"/>
    </row>
    <row r="58" spans="1:30" s="61" customFormat="1" ht="15.5">
      <c r="A58" s="64" t="s">
        <v>461</v>
      </c>
      <c r="B58" s="64" t="s">
        <v>943</v>
      </c>
      <c r="C58" s="64" t="s">
        <v>1041</v>
      </c>
      <c r="D58" s="64"/>
      <c r="E58" s="64"/>
      <c r="F58" s="64"/>
      <c r="G58" s="64"/>
      <c r="H58" s="65">
        <v>200</v>
      </c>
      <c r="I58" s="64">
        <f>+H58</f>
        <v>200</v>
      </c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49">
        <f t="shared" si="6"/>
        <v>200</v>
      </c>
      <c r="AC58" s="49">
        <f t="shared" si="3"/>
        <v>0</v>
      </c>
      <c r="AD58"/>
    </row>
    <row r="59" spans="1:30" s="61" customFormat="1" ht="15.5">
      <c r="A59" s="64" t="s">
        <v>461</v>
      </c>
      <c r="B59" s="64" t="s">
        <v>1043</v>
      </c>
      <c r="C59" s="64" t="s">
        <v>1042</v>
      </c>
      <c r="D59" s="64"/>
      <c r="E59" s="64"/>
      <c r="F59" s="64"/>
      <c r="G59" s="64"/>
      <c r="H59" s="65">
        <v>200</v>
      </c>
      <c r="I59" s="64">
        <f>+H59</f>
        <v>200</v>
      </c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49">
        <f t="shared" si="6"/>
        <v>200</v>
      </c>
      <c r="AC59" s="49">
        <f t="shared" si="3"/>
        <v>0</v>
      </c>
      <c r="AD59"/>
    </row>
    <row r="60" spans="1:30" s="61" customFormat="1" ht="15.5">
      <c r="A60" s="64" t="s">
        <v>461</v>
      </c>
      <c r="B60" s="64" t="s">
        <v>247</v>
      </c>
      <c r="C60" s="64" t="s">
        <v>248</v>
      </c>
      <c r="D60" s="64">
        <v>2000</v>
      </c>
      <c r="E60" s="64">
        <v>22000</v>
      </c>
      <c r="F60" s="64">
        <f t="shared" ref="F60:F67" si="9">+E60-D60</f>
        <v>20000</v>
      </c>
      <c r="G60" s="64" t="s">
        <v>8</v>
      </c>
      <c r="H60" s="65">
        <f t="shared" ref="H60:H67" si="10">+E60</f>
        <v>22000</v>
      </c>
      <c r="I60" s="64"/>
      <c r="J60" s="64"/>
      <c r="K60" s="84"/>
      <c r="L60" s="64"/>
      <c r="M60" s="65">
        <f>+H60</f>
        <v>22000</v>
      </c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49">
        <f t="shared" si="6"/>
        <v>22000</v>
      </c>
      <c r="AC60" s="49">
        <f t="shared" si="3"/>
        <v>0</v>
      </c>
      <c r="AD60" t="s">
        <v>743</v>
      </c>
    </row>
    <row r="61" spans="1:30" s="61" customFormat="1" ht="15.5">
      <c r="A61" s="64" t="s">
        <v>461</v>
      </c>
      <c r="B61" s="64" t="s">
        <v>249</v>
      </c>
      <c r="C61" s="64" t="s">
        <v>250</v>
      </c>
      <c r="D61" s="64">
        <v>19550</v>
      </c>
      <c r="E61" s="64">
        <v>215050</v>
      </c>
      <c r="F61" s="64">
        <f t="shared" si="9"/>
        <v>195500</v>
      </c>
      <c r="G61" s="64" t="s">
        <v>8</v>
      </c>
      <c r="H61" s="65">
        <f t="shared" si="10"/>
        <v>215050</v>
      </c>
      <c r="I61" s="64"/>
      <c r="J61" s="64"/>
      <c r="K61" s="64"/>
      <c r="L61" s="64"/>
      <c r="M61" s="65">
        <f>+H61</f>
        <v>215050</v>
      </c>
      <c r="N61" s="64"/>
      <c r="O61" s="65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49">
        <f t="shared" si="6"/>
        <v>215050</v>
      </c>
      <c r="AC61" s="49">
        <f t="shared" si="3"/>
        <v>0</v>
      </c>
      <c r="AD61" t="s">
        <v>743</v>
      </c>
    </row>
    <row r="62" spans="1:30" s="61" customFormat="1" ht="15.5">
      <c r="A62" s="64" t="s">
        <v>454</v>
      </c>
      <c r="B62" s="64" t="s">
        <v>103</v>
      </c>
      <c r="C62" s="64" t="s">
        <v>104</v>
      </c>
      <c r="D62" s="64">
        <v>363.64</v>
      </c>
      <c r="E62" s="64">
        <v>4000</v>
      </c>
      <c r="F62" s="64">
        <f t="shared" si="9"/>
        <v>3636.36</v>
      </c>
      <c r="G62" s="64" t="s">
        <v>8</v>
      </c>
      <c r="H62" s="65">
        <f t="shared" si="10"/>
        <v>4000</v>
      </c>
      <c r="I62" s="65">
        <f>+H62</f>
        <v>4000</v>
      </c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49">
        <f t="shared" si="6"/>
        <v>4000</v>
      </c>
      <c r="AC62" s="49">
        <f t="shared" si="3"/>
        <v>0</v>
      </c>
      <c r="AD62" t="s">
        <v>743</v>
      </c>
    </row>
    <row r="63" spans="1:30" s="61" customFormat="1" ht="15.5">
      <c r="A63" s="64" t="s">
        <v>454</v>
      </c>
      <c r="B63" s="64" t="s">
        <v>457</v>
      </c>
      <c r="C63" s="64" t="s">
        <v>458</v>
      </c>
      <c r="D63" s="64">
        <v>0</v>
      </c>
      <c r="E63" s="64">
        <v>76500</v>
      </c>
      <c r="F63" s="64">
        <f t="shared" si="9"/>
        <v>76500</v>
      </c>
      <c r="G63" s="64" t="s">
        <v>8</v>
      </c>
      <c r="H63" s="65">
        <f t="shared" si="10"/>
        <v>76500</v>
      </c>
      <c r="I63" s="64"/>
      <c r="J63" s="64"/>
      <c r="K63" s="64"/>
      <c r="L63" s="64"/>
      <c r="M63" s="65">
        <f>+H63</f>
        <v>76500</v>
      </c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49">
        <f t="shared" si="6"/>
        <v>76500</v>
      </c>
      <c r="AC63" s="49">
        <f t="shared" si="3"/>
        <v>0</v>
      </c>
      <c r="AD63" t="s">
        <v>743</v>
      </c>
    </row>
    <row r="64" spans="1:30" s="61" customFormat="1" ht="15.5">
      <c r="A64" s="64" t="s">
        <v>454</v>
      </c>
      <c r="B64" s="64" t="s">
        <v>457</v>
      </c>
      <c r="C64" s="64" t="s">
        <v>458</v>
      </c>
      <c r="D64" s="64">
        <v>0</v>
      </c>
      <c r="E64" s="64">
        <v>76500</v>
      </c>
      <c r="F64" s="64">
        <f t="shared" si="9"/>
        <v>76500</v>
      </c>
      <c r="G64" s="64" t="s">
        <v>8</v>
      </c>
      <c r="H64" s="65">
        <f t="shared" si="10"/>
        <v>76500</v>
      </c>
      <c r="I64" s="64"/>
      <c r="J64" s="64"/>
      <c r="K64" s="64"/>
      <c r="L64" s="64"/>
      <c r="M64" s="65">
        <f>+H64</f>
        <v>76500</v>
      </c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49">
        <f t="shared" si="6"/>
        <v>76500</v>
      </c>
      <c r="AC64" s="49">
        <f t="shared" si="3"/>
        <v>0</v>
      </c>
      <c r="AD64" t="s">
        <v>743</v>
      </c>
    </row>
    <row r="65" spans="1:30" s="61" customFormat="1" ht="15.5">
      <c r="A65" s="64" t="s">
        <v>454</v>
      </c>
      <c r="B65" s="64" t="s">
        <v>455</v>
      </c>
      <c r="C65" s="64" t="s">
        <v>456</v>
      </c>
      <c r="D65" s="64">
        <v>0</v>
      </c>
      <c r="E65" s="64">
        <v>114000</v>
      </c>
      <c r="F65" s="64">
        <f t="shared" si="9"/>
        <v>114000</v>
      </c>
      <c r="G65" s="64" t="s">
        <v>8</v>
      </c>
      <c r="H65" s="65">
        <f t="shared" si="10"/>
        <v>114000</v>
      </c>
      <c r="I65" s="64"/>
      <c r="J65" s="64"/>
      <c r="K65" s="64"/>
      <c r="L65" s="64"/>
      <c r="M65" s="64"/>
      <c r="N65" s="65">
        <f>+H65</f>
        <v>114000</v>
      </c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49">
        <f t="shared" si="6"/>
        <v>114000</v>
      </c>
      <c r="AC65" s="49">
        <f t="shared" si="3"/>
        <v>0</v>
      </c>
      <c r="AD65" t="s">
        <v>743</v>
      </c>
    </row>
    <row r="66" spans="1:30" s="61" customFormat="1" ht="15.5">
      <c r="A66" s="64" t="s">
        <v>454</v>
      </c>
      <c r="B66" s="64" t="s">
        <v>94</v>
      </c>
      <c r="C66" s="64" t="s">
        <v>95</v>
      </c>
      <c r="D66" s="64">
        <v>12263.64</v>
      </c>
      <c r="E66" s="64">
        <v>134900</v>
      </c>
      <c r="F66" s="64">
        <f t="shared" si="9"/>
        <v>122636.36</v>
      </c>
      <c r="G66" s="64" t="s">
        <v>8</v>
      </c>
      <c r="H66" s="65">
        <f t="shared" si="10"/>
        <v>134900</v>
      </c>
      <c r="I66" s="84"/>
      <c r="J66" s="64"/>
      <c r="K66" s="64"/>
      <c r="L66" s="64"/>
      <c r="M66" s="64"/>
      <c r="N66" s="64"/>
      <c r="O66" s="65"/>
      <c r="P66" s="65">
        <f>+H66</f>
        <v>134900</v>
      </c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49">
        <f>SUM(J66:AA66)</f>
        <v>134900</v>
      </c>
      <c r="AC66" s="49">
        <f t="shared" si="3"/>
        <v>0</v>
      </c>
      <c r="AD66" t="s">
        <v>743</v>
      </c>
    </row>
    <row r="67" spans="1:30" s="61" customFormat="1" ht="15.5">
      <c r="A67" s="64" t="s">
        <v>454</v>
      </c>
      <c r="B67" s="64" t="s">
        <v>459</v>
      </c>
      <c r="C67" s="64" t="s">
        <v>460</v>
      </c>
      <c r="D67" s="64">
        <v>30527.27</v>
      </c>
      <c r="E67" s="64">
        <v>335800</v>
      </c>
      <c r="F67" s="64">
        <f t="shared" si="9"/>
        <v>305272.73</v>
      </c>
      <c r="G67" s="64" t="s">
        <v>8</v>
      </c>
      <c r="H67" s="65">
        <f t="shared" si="10"/>
        <v>335800</v>
      </c>
      <c r="I67" s="64"/>
      <c r="J67" s="64"/>
      <c r="K67" s="65">
        <f>+H67</f>
        <v>335800</v>
      </c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49">
        <f t="shared" ref="AB67:AB98" si="11">SUM(I67:AA67)</f>
        <v>335800</v>
      </c>
      <c r="AC67" s="49">
        <f t="shared" si="3"/>
        <v>0</v>
      </c>
      <c r="AD67" t="s">
        <v>743</v>
      </c>
    </row>
    <row r="68" spans="1:30" s="61" customFormat="1" ht="15.5">
      <c r="A68" s="64" t="s">
        <v>447</v>
      </c>
      <c r="B68" s="64" t="s">
        <v>1045</v>
      </c>
      <c r="C68" s="64" t="s">
        <v>1044</v>
      </c>
      <c r="D68" s="64"/>
      <c r="E68" s="64"/>
      <c r="F68" s="64"/>
      <c r="G68" s="64"/>
      <c r="H68" s="65">
        <v>200</v>
      </c>
      <c r="I68" s="64">
        <f>+H68</f>
        <v>200</v>
      </c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49">
        <f t="shared" si="11"/>
        <v>200</v>
      </c>
      <c r="AC68" s="49">
        <f t="shared" si="3"/>
        <v>0</v>
      </c>
      <c r="AD68"/>
    </row>
    <row r="69" spans="1:30" s="61" customFormat="1" ht="15.5">
      <c r="A69" s="64" t="s">
        <v>447</v>
      </c>
      <c r="B69" s="64" t="s">
        <v>1047</v>
      </c>
      <c r="C69" s="64" t="s">
        <v>1046</v>
      </c>
      <c r="D69" s="64"/>
      <c r="E69" s="64"/>
      <c r="F69" s="64"/>
      <c r="G69" s="64"/>
      <c r="H69" s="65">
        <v>200</v>
      </c>
      <c r="I69" s="64">
        <f>+H69</f>
        <v>200</v>
      </c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49">
        <f t="shared" si="11"/>
        <v>200</v>
      </c>
      <c r="AC69" s="49">
        <f t="shared" si="3"/>
        <v>0</v>
      </c>
      <c r="AD69"/>
    </row>
    <row r="70" spans="1:30" s="61" customFormat="1" ht="15.5">
      <c r="A70" s="64" t="s">
        <v>447</v>
      </c>
      <c r="B70" s="64" t="s">
        <v>1047</v>
      </c>
      <c r="C70" s="64" t="s">
        <v>1049</v>
      </c>
      <c r="D70" s="64"/>
      <c r="E70" s="64"/>
      <c r="F70" s="64"/>
      <c r="G70" s="64"/>
      <c r="H70" s="65">
        <v>200</v>
      </c>
      <c r="I70" s="64">
        <f>+H70</f>
        <v>200</v>
      </c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49">
        <f t="shared" si="11"/>
        <v>200</v>
      </c>
      <c r="AC70" s="49">
        <f t="shared" ref="AC70:AC133" si="12">+AB70-H70</f>
        <v>0</v>
      </c>
      <c r="AD70"/>
    </row>
    <row r="71" spans="1:30" s="61" customFormat="1" ht="15.5">
      <c r="A71" s="64" t="s">
        <v>447</v>
      </c>
      <c r="B71" s="64" t="s">
        <v>1026</v>
      </c>
      <c r="C71" s="64" t="s">
        <v>1050</v>
      </c>
      <c r="D71" s="64"/>
      <c r="E71" s="64"/>
      <c r="F71" s="64"/>
      <c r="G71" s="64"/>
      <c r="H71" s="65">
        <v>200</v>
      </c>
      <c r="I71" s="64">
        <f>+H71</f>
        <v>200</v>
      </c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49">
        <f t="shared" si="11"/>
        <v>200</v>
      </c>
      <c r="AC71" s="49">
        <f t="shared" si="12"/>
        <v>0</v>
      </c>
      <c r="AD71"/>
    </row>
    <row r="72" spans="1:30" s="61" customFormat="1" ht="15.5">
      <c r="A72" s="64" t="s">
        <v>447</v>
      </c>
      <c r="B72" s="64" t="s">
        <v>452</v>
      </c>
      <c r="C72" s="64" t="s">
        <v>453</v>
      </c>
      <c r="D72" s="64">
        <v>6000</v>
      </c>
      <c r="E72" s="64">
        <v>66000</v>
      </c>
      <c r="F72" s="64">
        <f>+E72-D72</f>
        <v>60000</v>
      </c>
      <c r="G72" s="64" t="s">
        <v>8</v>
      </c>
      <c r="H72" s="65">
        <f>+E72</f>
        <v>66000</v>
      </c>
      <c r="I72" s="64"/>
      <c r="J72" s="64"/>
      <c r="K72" s="64"/>
      <c r="L72" s="64"/>
      <c r="M72" s="65">
        <f>+H72</f>
        <v>66000</v>
      </c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49">
        <f t="shared" si="11"/>
        <v>66000</v>
      </c>
      <c r="AC72" s="49">
        <f t="shared" si="12"/>
        <v>0</v>
      </c>
      <c r="AD72" t="s">
        <v>743</v>
      </c>
    </row>
    <row r="73" spans="1:30" s="61" customFormat="1" ht="15.5">
      <c r="A73" s="64" t="s">
        <v>447</v>
      </c>
      <c r="B73" s="64" t="s">
        <v>448</v>
      </c>
      <c r="C73" s="64" t="s">
        <v>449</v>
      </c>
      <c r="D73" s="64">
        <v>12000</v>
      </c>
      <c r="E73" s="64">
        <v>132000</v>
      </c>
      <c r="F73" s="64">
        <f>+E73-D73</f>
        <v>120000</v>
      </c>
      <c r="G73" s="64" t="s">
        <v>8</v>
      </c>
      <c r="H73" s="65">
        <f>+E73</f>
        <v>132000</v>
      </c>
      <c r="I73" s="64"/>
      <c r="J73" s="64"/>
      <c r="K73" s="64"/>
      <c r="L73" s="64"/>
      <c r="M73" s="64"/>
      <c r="N73" s="64"/>
      <c r="O73" s="65">
        <f>+H73</f>
        <v>132000</v>
      </c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49">
        <f t="shared" si="11"/>
        <v>132000</v>
      </c>
      <c r="AC73" s="49">
        <f t="shared" si="12"/>
        <v>0</v>
      </c>
      <c r="AD73" t="s">
        <v>743</v>
      </c>
    </row>
    <row r="74" spans="1:30" s="61" customFormat="1" ht="15.5">
      <c r="A74" s="64" t="s">
        <v>447</v>
      </c>
      <c r="B74" s="64" t="s">
        <v>87</v>
      </c>
      <c r="C74" s="64" t="s">
        <v>88</v>
      </c>
      <c r="D74" s="64">
        <v>15069.09</v>
      </c>
      <c r="E74" s="64">
        <v>165760</v>
      </c>
      <c r="F74" s="64">
        <f>+E74-D74</f>
        <v>150690.91</v>
      </c>
      <c r="G74" s="64" t="s">
        <v>8</v>
      </c>
      <c r="H74" s="65">
        <f>+E74</f>
        <v>165760</v>
      </c>
      <c r="I74" s="65">
        <f>+H74</f>
        <v>165760</v>
      </c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49">
        <f t="shared" si="11"/>
        <v>165760</v>
      </c>
      <c r="AC74" s="49">
        <f t="shared" si="12"/>
        <v>0</v>
      </c>
      <c r="AD74" t="s">
        <v>743</v>
      </c>
    </row>
    <row r="75" spans="1:30" s="61" customFormat="1" ht="15.5">
      <c r="A75" s="64" t="s">
        <v>447</v>
      </c>
      <c r="B75" s="64" t="s">
        <v>1026</v>
      </c>
      <c r="C75" s="64" t="s">
        <v>1051</v>
      </c>
      <c r="D75" s="64"/>
      <c r="E75" s="64"/>
      <c r="F75" s="64"/>
      <c r="G75" s="64"/>
      <c r="H75" s="65">
        <v>350000</v>
      </c>
      <c r="I75" s="64"/>
      <c r="J75" s="64"/>
      <c r="K75" s="64"/>
      <c r="L75" s="64"/>
      <c r="M75" s="64">
        <v>350000</v>
      </c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49">
        <f t="shared" si="11"/>
        <v>350000</v>
      </c>
      <c r="AC75" s="49">
        <f t="shared" si="12"/>
        <v>0</v>
      </c>
      <c r="AD75"/>
    </row>
    <row r="76" spans="1:30" s="61" customFormat="1" ht="15.5">
      <c r="A76" s="64" t="s">
        <v>447</v>
      </c>
      <c r="B76" s="64" t="s">
        <v>450</v>
      </c>
      <c r="C76" s="64" t="s">
        <v>451</v>
      </c>
      <c r="D76" s="64">
        <v>45000</v>
      </c>
      <c r="E76" s="64">
        <v>495000</v>
      </c>
      <c r="F76" s="64">
        <f>+E76-D76</f>
        <v>450000</v>
      </c>
      <c r="G76" s="64" t="s">
        <v>8</v>
      </c>
      <c r="H76" s="65">
        <f>+E76</f>
        <v>495000</v>
      </c>
      <c r="I76" s="64"/>
      <c r="J76" s="64"/>
      <c r="K76" s="64"/>
      <c r="L76" s="64"/>
      <c r="M76" s="65">
        <f>+H76</f>
        <v>495000</v>
      </c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49">
        <f t="shared" si="11"/>
        <v>495000</v>
      </c>
      <c r="AC76" s="49">
        <f t="shared" si="12"/>
        <v>0</v>
      </c>
      <c r="AD76" t="s">
        <v>743</v>
      </c>
    </row>
    <row r="77" spans="1:30" s="61" customFormat="1" ht="15.5">
      <c r="A77" s="64" t="s">
        <v>447</v>
      </c>
      <c r="B77" s="64" t="s">
        <v>450</v>
      </c>
      <c r="C77" s="64" t="s">
        <v>451</v>
      </c>
      <c r="D77" s="64">
        <v>58450</v>
      </c>
      <c r="E77" s="64">
        <v>642950</v>
      </c>
      <c r="F77" s="64">
        <f>+E77-D77</f>
        <v>584500</v>
      </c>
      <c r="G77" s="64" t="s">
        <v>8</v>
      </c>
      <c r="H77" s="65">
        <f>+E77</f>
        <v>642950</v>
      </c>
      <c r="I77" s="64"/>
      <c r="J77" s="64"/>
      <c r="K77" s="64"/>
      <c r="L77" s="64"/>
      <c r="M77" s="64"/>
      <c r="N77" s="64"/>
      <c r="O77" s="65">
        <f>+H77</f>
        <v>642950</v>
      </c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49">
        <f t="shared" si="11"/>
        <v>642950</v>
      </c>
      <c r="AC77" s="49">
        <f t="shared" si="12"/>
        <v>0</v>
      </c>
      <c r="AD77" t="s">
        <v>743</v>
      </c>
    </row>
    <row r="78" spans="1:30" s="61" customFormat="1" ht="15.5">
      <c r="A78" s="64" t="s">
        <v>447</v>
      </c>
      <c r="B78" s="64" t="s">
        <v>448</v>
      </c>
      <c r="C78" s="64" t="s">
        <v>449</v>
      </c>
      <c r="D78" s="64">
        <v>73500</v>
      </c>
      <c r="E78" s="64">
        <v>808500</v>
      </c>
      <c r="F78" s="64">
        <f>+E78-D78</f>
        <v>735000</v>
      </c>
      <c r="G78" s="64" t="s">
        <v>8</v>
      </c>
      <c r="H78" s="65">
        <f>+E78</f>
        <v>808500</v>
      </c>
      <c r="I78" s="64"/>
      <c r="J78" s="64"/>
      <c r="K78" s="64"/>
      <c r="L78" s="64"/>
      <c r="M78" s="64"/>
      <c r="N78" s="64"/>
      <c r="O78" s="65">
        <f>+H78</f>
        <v>808500</v>
      </c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49">
        <f t="shared" si="11"/>
        <v>808500</v>
      </c>
      <c r="AC78" s="49">
        <f t="shared" si="12"/>
        <v>0</v>
      </c>
      <c r="AD78" t="s">
        <v>743</v>
      </c>
    </row>
    <row r="79" spans="1:30" s="61" customFormat="1" ht="15.5">
      <c r="A79" s="64" t="s">
        <v>447</v>
      </c>
      <c r="B79" s="64" t="s">
        <v>1047</v>
      </c>
      <c r="C79" s="64" t="s">
        <v>1048</v>
      </c>
      <c r="D79" s="64"/>
      <c r="E79" s="64"/>
      <c r="F79" s="64"/>
      <c r="G79" s="64"/>
      <c r="H79" s="65">
        <v>808500</v>
      </c>
      <c r="I79" s="64"/>
      <c r="J79" s="64"/>
      <c r="K79" s="64"/>
      <c r="L79" s="64"/>
      <c r="M79" s="64"/>
      <c r="N79" s="64"/>
      <c r="O79" s="64">
        <v>808500</v>
      </c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49">
        <f t="shared" si="11"/>
        <v>808500</v>
      </c>
      <c r="AC79" s="49">
        <f t="shared" si="12"/>
        <v>0</v>
      </c>
      <c r="AD79"/>
    </row>
    <row r="80" spans="1:30" s="61" customFormat="1" ht="15.5">
      <c r="A80" s="64" t="s">
        <v>447</v>
      </c>
      <c r="B80" s="64" t="s">
        <v>178</v>
      </c>
      <c r="C80" s="64" t="s">
        <v>179</v>
      </c>
      <c r="D80" s="64">
        <v>197727.27</v>
      </c>
      <c r="E80" s="64">
        <v>2175000</v>
      </c>
      <c r="F80" s="64">
        <f>+E80-D80</f>
        <v>1977272.73</v>
      </c>
      <c r="G80" s="64" t="s">
        <v>8</v>
      </c>
      <c r="H80" s="65">
        <f>+E80</f>
        <v>2175000</v>
      </c>
      <c r="I80" s="64"/>
      <c r="J80" s="64"/>
      <c r="K80" s="64"/>
      <c r="L80" s="64"/>
      <c r="M80" s="64"/>
      <c r="N80" s="64"/>
      <c r="O80" s="64"/>
      <c r="P80" s="64"/>
      <c r="Q80" s="65">
        <f>+H80</f>
        <v>2175000</v>
      </c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49">
        <f t="shared" si="11"/>
        <v>2175000</v>
      </c>
      <c r="AC80" s="49">
        <f t="shared" si="12"/>
        <v>0</v>
      </c>
      <c r="AD80" t="s">
        <v>743</v>
      </c>
    </row>
    <row r="81" spans="1:30" s="61" customFormat="1" ht="15.5">
      <c r="A81" s="64" t="s">
        <v>442</v>
      </c>
      <c r="B81" s="64" t="s">
        <v>1053</v>
      </c>
      <c r="C81" s="64" t="s">
        <v>1052</v>
      </c>
      <c r="D81" s="64"/>
      <c r="E81" s="64"/>
      <c r="F81" s="64"/>
      <c r="G81" s="64"/>
      <c r="H81" s="65">
        <v>200</v>
      </c>
      <c r="I81" s="64">
        <f t="shared" ref="I81:I86" si="13">+H81</f>
        <v>200</v>
      </c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49">
        <f t="shared" si="11"/>
        <v>200</v>
      </c>
      <c r="AC81" s="49">
        <f t="shared" si="12"/>
        <v>0</v>
      </c>
      <c r="AD81"/>
    </row>
    <row r="82" spans="1:30" s="61" customFormat="1" ht="15.5">
      <c r="A82" s="64" t="s">
        <v>442</v>
      </c>
      <c r="B82" s="64" t="s">
        <v>1056</v>
      </c>
      <c r="C82" s="64" t="s">
        <v>1055</v>
      </c>
      <c r="D82" s="64"/>
      <c r="E82" s="64"/>
      <c r="F82" s="64"/>
      <c r="G82" s="64"/>
      <c r="H82" s="65">
        <v>200</v>
      </c>
      <c r="I82" s="64">
        <f t="shared" si="13"/>
        <v>200</v>
      </c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49">
        <f t="shared" si="11"/>
        <v>200</v>
      </c>
      <c r="AC82" s="49">
        <f t="shared" si="12"/>
        <v>0</v>
      </c>
      <c r="AD82"/>
    </row>
    <row r="83" spans="1:30" s="61" customFormat="1" ht="15.5">
      <c r="A83" s="64" t="s">
        <v>442</v>
      </c>
      <c r="B83" s="64" t="s">
        <v>1059</v>
      </c>
      <c r="C83" s="64" t="s">
        <v>1058</v>
      </c>
      <c r="D83" s="64"/>
      <c r="E83" s="64"/>
      <c r="F83" s="64"/>
      <c r="G83" s="64"/>
      <c r="H83" s="65">
        <v>200</v>
      </c>
      <c r="I83" s="64">
        <f t="shared" si="13"/>
        <v>200</v>
      </c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49">
        <f t="shared" si="11"/>
        <v>200</v>
      </c>
      <c r="AC83" s="49">
        <f t="shared" si="12"/>
        <v>0</v>
      </c>
      <c r="AD83"/>
    </row>
    <row r="84" spans="1:30" s="61" customFormat="1" ht="15.5">
      <c r="A84" s="64" t="s">
        <v>442</v>
      </c>
      <c r="B84" s="64" t="s">
        <v>1062</v>
      </c>
      <c r="C84" s="64" t="s">
        <v>1061</v>
      </c>
      <c r="D84" s="64"/>
      <c r="E84" s="64"/>
      <c r="F84" s="64"/>
      <c r="G84" s="64"/>
      <c r="H84" s="65">
        <v>200</v>
      </c>
      <c r="I84" s="64">
        <f t="shared" si="13"/>
        <v>200</v>
      </c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49">
        <f t="shared" si="11"/>
        <v>200</v>
      </c>
      <c r="AC84" s="49">
        <f t="shared" si="12"/>
        <v>0</v>
      </c>
      <c r="AD84"/>
    </row>
    <row r="85" spans="1:30" s="61" customFormat="1" ht="15.5">
      <c r="A85" s="64" t="s">
        <v>442</v>
      </c>
      <c r="B85" s="64" t="s">
        <v>128</v>
      </c>
      <c r="C85" s="64" t="s">
        <v>129</v>
      </c>
      <c r="D85" s="64">
        <v>3720.72</v>
      </c>
      <c r="E85" s="64">
        <v>40927.879999999997</v>
      </c>
      <c r="F85" s="64">
        <f>+E85-D85</f>
        <v>37207.159999999996</v>
      </c>
      <c r="G85" s="64" t="s">
        <v>8</v>
      </c>
      <c r="H85" s="65">
        <f>+E85</f>
        <v>40927.879999999997</v>
      </c>
      <c r="I85" s="65">
        <f t="shared" si="13"/>
        <v>40927.879999999997</v>
      </c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49">
        <f t="shared" si="11"/>
        <v>40927.879999999997</v>
      </c>
      <c r="AC85" s="49">
        <f t="shared" si="12"/>
        <v>0</v>
      </c>
      <c r="AD85" t="s">
        <v>743</v>
      </c>
    </row>
    <row r="86" spans="1:30" s="61" customFormat="1" ht="15.5">
      <c r="A86" s="64" t="s">
        <v>442</v>
      </c>
      <c r="B86" s="64" t="s">
        <v>443</v>
      </c>
      <c r="C86" s="64" t="s">
        <v>444</v>
      </c>
      <c r="D86" s="64">
        <v>6336.36</v>
      </c>
      <c r="E86" s="64">
        <v>69700</v>
      </c>
      <c r="F86" s="64">
        <f>+E86-D86</f>
        <v>63363.64</v>
      </c>
      <c r="G86" s="64" t="s">
        <v>8</v>
      </c>
      <c r="H86" s="65">
        <f>+E86</f>
        <v>69700</v>
      </c>
      <c r="I86" s="65">
        <f t="shared" si="13"/>
        <v>69700</v>
      </c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49">
        <f t="shared" si="11"/>
        <v>69700</v>
      </c>
      <c r="AC86" s="49">
        <f t="shared" si="12"/>
        <v>0</v>
      </c>
      <c r="AD86" t="s">
        <v>743</v>
      </c>
    </row>
    <row r="87" spans="1:30" s="61" customFormat="1" ht="15.5">
      <c r="A87" s="64" t="s">
        <v>442</v>
      </c>
      <c r="B87" s="64" t="s">
        <v>1059</v>
      </c>
      <c r="C87" s="64" t="s">
        <v>1060</v>
      </c>
      <c r="D87" s="64"/>
      <c r="E87" s="64"/>
      <c r="F87" s="64"/>
      <c r="G87" s="64"/>
      <c r="H87" s="65">
        <v>148400</v>
      </c>
      <c r="I87" s="64"/>
      <c r="J87" s="64">
        <v>148400</v>
      </c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49">
        <f t="shared" si="11"/>
        <v>148400</v>
      </c>
      <c r="AC87" s="49">
        <f t="shared" si="12"/>
        <v>0</v>
      </c>
      <c r="AD87"/>
    </row>
    <row r="88" spans="1:30" s="61" customFormat="1" ht="15.5">
      <c r="A88" s="64" t="s">
        <v>442</v>
      </c>
      <c r="B88" s="64" t="s">
        <v>1056</v>
      </c>
      <c r="C88" s="64" t="s">
        <v>1057</v>
      </c>
      <c r="D88" s="64"/>
      <c r="E88" s="64"/>
      <c r="F88" s="64"/>
      <c r="G88" s="64"/>
      <c r="H88" s="65">
        <v>410850</v>
      </c>
      <c r="I88" s="64"/>
      <c r="J88" s="64"/>
      <c r="K88" s="64"/>
      <c r="L88" s="64"/>
      <c r="M88" s="64">
        <v>410850</v>
      </c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49">
        <f t="shared" si="11"/>
        <v>410850</v>
      </c>
      <c r="AC88" s="49">
        <f t="shared" si="12"/>
        <v>0</v>
      </c>
      <c r="AD88"/>
    </row>
    <row r="89" spans="1:30" s="61" customFormat="1" ht="15.5">
      <c r="A89" s="64" t="s">
        <v>442</v>
      </c>
      <c r="B89" s="64" t="s">
        <v>1053</v>
      </c>
      <c r="C89" s="64" t="s">
        <v>1054</v>
      </c>
      <c r="D89" s="64"/>
      <c r="E89" s="64"/>
      <c r="F89" s="64"/>
      <c r="G89" s="64"/>
      <c r="H89" s="65">
        <v>450000</v>
      </c>
      <c r="I89" s="64"/>
      <c r="J89" s="64"/>
      <c r="K89" s="64"/>
      <c r="L89" s="64"/>
      <c r="M89" s="64"/>
      <c r="N89" s="64"/>
      <c r="O89" s="64">
        <v>450000</v>
      </c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49">
        <f t="shared" si="11"/>
        <v>450000</v>
      </c>
      <c r="AC89" s="49">
        <f t="shared" si="12"/>
        <v>0</v>
      </c>
      <c r="AD89"/>
    </row>
    <row r="90" spans="1:30" s="61" customFormat="1" ht="15.5">
      <c r="A90" s="64" t="s">
        <v>442</v>
      </c>
      <c r="B90" s="64" t="s">
        <v>445</v>
      </c>
      <c r="C90" s="64" t="s">
        <v>446</v>
      </c>
      <c r="D90" s="64">
        <v>0</v>
      </c>
      <c r="E90" s="64">
        <v>655400</v>
      </c>
      <c r="F90" s="64">
        <f>+E90-D90</f>
        <v>655400</v>
      </c>
      <c r="G90" s="64" t="s">
        <v>477</v>
      </c>
      <c r="H90" s="65">
        <f>+E90</f>
        <v>655400</v>
      </c>
      <c r="I90" s="65">
        <f>+H90</f>
        <v>655400</v>
      </c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49">
        <f t="shared" si="11"/>
        <v>655400</v>
      </c>
      <c r="AC90" s="49">
        <f t="shared" si="12"/>
        <v>0</v>
      </c>
      <c r="AD90" t="s">
        <v>743</v>
      </c>
    </row>
    <row r="91" spans="1:30" s="61" customFormat="1" ht="15.5">
      <c r="A91" s="64" t="s">
        <v>442</v>
      </c>
      <c r="B91" s="64" t="s">
        <v>445</v>
      </c>
      <c r="C91" s="64" t="s">
        <v>446</v>
      </c>
      <c r="D91" s="64">
        <v>0</v>
      </c>
      <c r="E91" s="64">
        <v>655400.59</v>
      </c>
      <c r="F91" s="64">
        <f>+E91-D91</f>
        <v>655400.59</v>
      </c>
      <c r="G91" s="64" t="s">
        <v>477</v>
      </c>
      <c r="H91" s="65">
        <f>+E91</f>
        <v>655400.59</v>
      </c>
      <c r="I91" s="65">
        <f>+H91</f>
        <v>655400.59</v>
      </c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49">
        <f t="shared" si="11"/>
        <v>655400.59</v>
      </c>
      <c r="AC91" s="49">
        <f t="shared" si="12"/>
        <v>0</v>
      </c>
      <c r="AD91" t="s">
        <v>743</v>
      </c>
    </row>
    <row r="92" spans="1:30" s="61" customFormat="1" ht="15.5">
      <c r="A92" s="64" t="s">
        <v>442</v>
      </c>
      <c r="B92" s="64" t="s">
        <v>1062</v>
      </c>
      <c r="C92" s="64" t="s">
        <v>1063</v>
      </c>
      <c r="D92" s="64"/>
      <c r="E92" s="64"/>
      <c r="F92" s="64"/>
      <c r="G92" s="64"/>
      <c r="H92" s="65">
        <v>800000</v>
      </c>
      <c r="I92" s="64"/>
      <c r="J92" s="64"/>
      <c r="K92" s="64"/>
      <c r="L92" s="64"/>
      <c r="M92" s="64"/>
      <c r="N92" s="64"/>
      <c r="O92" s="64">
        <v>800000</v>
      </c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49">
        <f t="shared" si="11"/>
        <v>800000</v>
      </c>
      <c r="AC92" s="49">
        <f t="shared" si="12"/>
        <v>0</v>
      </c>
      <c r="AD92"/>
    </row>
    <row r="93" spans="1:30" s="61" customFormat="1" ht="15.5">
      <c r="A93" s="64" t="s">
        <v>442</v>
      </c>
      <c r="B93" s="64" t="s">
        <v>156</v>
      </c>
      <c r="C93" s="64" t="s">
        <v>157</v>
      </c>
      <c r="D93" s="64">
        <v>490909.09</v>
      </c>
      <c r="E93" s="64">
        <v>5400000</v>
      </c>
      <c r="F93" s="64">
        <f>+E93-D93</f>
        <v>4909090.91</v>
      </c>
      <c r="G93" s="64" t="s">
        <v>8</v>
      </c>
      <c r="H93" s="65">
        <f>+E93</f>
        <v>5400000</v>
      </c>
      <c r="I93" s="64"/>
      <c r="J93" s="64"/>
      <c r="K93" s="64"/>
      <c r="L93" s="64"/>
      <c r="M93" s="64"/>
      <c r="N93" s="64"/>
      <c r="O93" s="64"/>
      <c r="P93" s="65">
        <f>+H93</f>
        <v>5400000</v>
      </c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49">
        <f t="shared" si="11"/>
        <v>5400000</v>
      </c>
      <c r="AC93" s="49">
        <f t="shared" si="12"/>
        <v>0</v>
      </c>
      <c r="AD93" t="s">
        <v>743</v>
      </c>
    </row>
    <row r="94" spans="1:30" s="61" customFormat="1" ht="15.5">
      <c r="A94" s="64" t="s">
        <v>439</v>
      </c>
      <c r="B94" s="64" t="s">
        <v>1065</v>
      </c>
      <c r="C94" s="64" t="s">
        <v>1064</v>
      </c>
      <c r="D94" s="64"/>
      <c r="E94" s="64"/>
      <c r="F94" s="64"/>
      <c r="G94" s="64"/>
      <c r="H94" s="65">
        <v>200</v>
      </c>
      <c r="I94" s="64">
        <f>+H94</f>
        <v>200</v>
      </c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49">
        <f t="shared" si="11"/>
        <v>200</v>
      </c>
      <c r="AC94" s="49">
        <f t="shared" si="12"/>
        <v>0</v>
      </c>
      <c r="AD94"/>
    </row>
    <row r="95" spans="1:30" s="61" customFormat="1" ht="15.5">
      <c r="A95" s="64" t="s">
        <v>439</v>
      </c>
      <c r="B95" s="64" t="s">
        <v>116</v>
      </c>
      <c r="C95" s="64" t="s">
        <v>117</v>
      </c>
      <c r="D95" s="64">
        <v>0</v>
      </c>
      <c r="E95" s="64">
        <v>99000</v>
      </c>
      <c r="F95" s="64">
        <f>+E95-D95</f>
        <v>99000</v>
      </c>
      <c r="G95" s="64" t="s">
        <v>55</v>
      </c>
      <c r="H95" s="65">
        <f>+E95</f>
        <v>99000</v>
      </c>
      <c r="I95" s="64"/>
      <c r="J95" s="64"/>
      <c r="K95" s="64"/>
      <c r="L95" s="64"/>
      <c r="M95" s="65">
        <f>+H95</f>
        <v>99000</v>
      </c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49">
        <f t="shared" si="11"/>
        <v>99000</v>
      </c>
      <c r="AC95" s="49">
        <f t="shared" si="12"/>
        <v>0</v>
      </c>
      <c r="AD95" t="s">
        <v>743</v>
      </c>
    </row>
    <row r="96" spans="1:30" s="61" customFormat="1" ht="15.5">
      <c r="A96" s="64" t="s">
        <v>439</v>
      </c>
      <c r="B96" s="64" t="s">
        <v>440</v>
      </c>
      <c r="C96" s="64" t="s">
        <v>441</v>
      </c>
      <c r="D96" s="64">
        <v>0</v>
      </c>
      <c r="E96" s="64">
        <v>160000</v>
      </c>
      <c r="F96" s="64">
        <f>+E96-D96</f>
        <v>160000</v>
      </c>
      <c r="G96" s="64" t="s">
        <v>8</v>
      </c>
      <c r="H96" s="65">
        <f>+E96</f>
        <v>160000</v>
      </c>
      <c r="I96" s="64"/>
      <c r="J96" s="64"/>
      <c r="K96" s="64"/>
      <c r="L96" s="64"/>
      <c r="M96" s="65"/>
      <c r="N96" s="64"/>
      <c r="O96" s="65">
        <f>+H96</f>
        <v>160000</v>
      </c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49">
        <f t="shared" si="11"/>
        <v>160000</v>
      </c>
      <c r="AC96" s="49">
        <f t="shared" si="12"/>
        <v>0</v>
      </c>
      <c r="AD96" t="s">
        <v>743</v>
      </c>
    </row>
    <row r="97" spans="1:30" s="61" customFormat="1" ht="15.5">
      <c r="A97" s="64" t="s">
        <v>436</v>
      </c>
      <c r="B97" s="64" t="s">
        <v>437</v>
      </c>
      <c r="C97" s="64" t="s">
        <v>438</v>
      </c>
      <c r="D97" s="64">
        <v>26363.64</v>
      </c>
      <c r="E97" s="64">
        <v>290000</v>
      </c>
      <c r="F97" s="64">
        <f>+E97-D97</f>
        <v>263636.36</v>
      </c>
      <c r="G97" s="64" t="s">
        <v>8</v>
      </c>
      <c r="H97" s="65">
        <f>+E97</f>
        <v>290000</v>
      </c>
      <c r="I97" s="64"/>
      <c r="J97" s="64"/>
      <c r="K97" s="64"/>
      <c r="L97" s="64"/>
      <c r="M97" s="65">
        <f>+H97</f>
        <v>290000</v>
      </c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49">
        <f t="shared" si="11"/>
        <v>290000</v>
      </c>
      <c r="AC97" s="49">
        <f t="shared" si="12"/>
        <v>0</v>
      </c>
      <c r="AD97" t="s">
        <v>743</v>
      </c>
    </row>
    <row r="98" spans="1:30" s="61" customFormat="1" ht="15.5">
      <c r="A98" s="64" t="s">
        <v>429</v>
      </c>
      <c r="B98" s="64" t="s">
        <v>974</v>
      </c>
      <c r="C98" s="64" t="s">
        <v>1066</v>
      </c>
      <c r="D98" s="64"/>
      <c r="E98" s="64"/>
      <c r="F98" s="64"/>
      <c r="G98" s="64"/>
      <c r="H98" s="65">
        <v>200</v>
      </c>
      <c r="I98" s="64">
        <f>+H98</f>
        <v>200</v>
      </c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49">
        <f t="shared" si="11"/>
        <v>200</v>
      </c>
      <c r="AC98" s="49">
        <f t="shared" si="12"/>
        <v>0</v>
      </c>
      <c r="AD98"/>
    </row>
    <row r="99" spans="1:30" s="61" customFormat="1" ht="15.5">
      <c r="A99" s="64" t="s">
        <v>429</v>
      </c>
      <c r="B99" s="64" t="s">
        <v>1069</v>
      </c>
      <c r="C99" s="64" t="s">
        <v>1068</v>
      </c>
      <c r="D99" s="64"/>
      <c r="E99" s="64"/>
      <c r="F99" s="64"/>
      <c r="G99" s="64"/>
      <c r="H99" s="65">
        <v>200</v>
      </c>
      <c r="I99" s="64">
        <f>+H99</f>
        <v>200</v>
      </c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49">
        <f t="shared" ref="AB99:AB123" si="14">SUM(I99:AA99)</f>
        <v>200</v>
      </c>
      <c r="AC99" s="49">
        <f t="shared" si="12"/>
        <v>0</v>
      </c>
      <c r="AD99"/>
    </row>
    <row r="100" spans="1:30" s="61" customFormat="1" ht="15.5">
      <c r="A100" s="64" t="s">
        <v>429</v>
      </c>
      <c r="B100" s="64" t="s">
        <v>434</v>
      </c>
      <c r="C100" s="64" t="s">
        <v>435</v>
      </c>
      <c r="D100" s="64">
        <v>0</v>
      </c>
      <c r="E100" s="64">
        <v>4400</v>
      </c>
      <c r="F100" s="64">
        <f>+E100-D100</f>
        <v>4400</v>
      </c>
      <c r="G100" s="64" t="s">
        <v>8</v>
      </c>
      <c r="H100" s="65">
        <f>+E100</f>
        <v>4400</v>
      </c>
      <c r="I100" s="64"/>
      <c r="J100" s="64"/>
      <c r="K100" s="65">
        <f>+H100</f>
        <v>4400</v>
      </c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49">
        <f t="shared" si="14"/>
        <v>4400</v>
      </c>
      <c r="AC100" s="49">
        <f t="shared" si="12"/>
        <v>0</v>
      </c>
      <c r="AD100" t="s">
        <v>743</v>
      </c>
    </row>
    <row r="101" spans="1:30" s="61" customFormat="1" ht="15.5">
      <c r="A101" s="64" t="s">
        <v>429</v>
      </c>
      <c r="B101" s="64" t="s">
        <v>434</v>
      </c>
      <c r="C101" s="64" t="s">
        <v>435</v>
      </c>
      <c r="D101" s="64">
        <v>0</v>
      </c>
      <c r="E101" s="64">
        <v>4400</v>
      </c>
      <c r="F101" s="64">
        <f>+E101-D101</f>
        <v>4400</v>
      </c>
      <c r="G101" s="64" t="s">
        <v>8</v>
      </c>
      <c r="H101" s="65">
        <f>+E101</f>
        <v>4400</v>
      </c>
      <c r="I101" s="64"/>
      <c r="J101" s="64"/>
      <c r="K101" s="65">
        <f>+H101</f>
        <v>4400</v>
      </c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49">
        <f t="shared" si="14"/>
        <v>4400</v>
      </c>
      <c r="AC101" s="49">
        <f t="shared" si="12"/>
        <v>0</v>
      </c>
      <c r="AD101" t="s">
        <v>743</v>
      </c>
    </row>
    <row r="102" spans="1:30" s="61" customFormat="1" ht="15.5">
      <c r="A102" s="64" t="s">
        <v>429</v>
      </c>
      <c r="B102" s="64" t="s">
        <v>432</v>
      </c>
      <c r="C102" s="64" t="s">
        <v>433</v>
      </c>
      <c r="D102" s="64">
        <v>13125</v>
      </c>
      <c r="E102" s="64">
        <v>147000</v>
      </c>
      <c r="F102" s="64">
        <f>+E102-D102</f>
        <v>133875</v>
      </c>
      <c r="G102" s="64" t="s">
        <v>8</v>
      </c>
      <c r="H102" s="65">
        <f>+E102</f>
        <v>147000</v>
      </c>
      <c r="I102" s="64"/>
      <c r="J102" s="64"/>
      <c r="K102" s="64"/>
      <c r="L102" s="64"/>
      <c r="M102" s="64"/>
      <c r="N102" s="64"/>
      <c r="O102" s="64"/>
      <c r="P102" s="65">
        <f>+H102</f>
        <v>147000</v>
      </c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49">
        <f t="shared" si="14"/>
        <v>147000</v>
      </c>
      <c r="AC102" s="49">
        <f t="shared" si="12"/>
        <v>0</v>
      </c>
      <c r="AD102" t="s">
        <v>743</v>
      </c>
    </row>
    <row r="103" spans="1:30" s="61" customFormat="1" ht="15.5">
      <c r="A103" s="64" t="s">
        <v>429</v>
      </c>
      <c r="B103" s="64" t="s">
        <v>974</v>
      </c>
      <c r="C103" s="64" t="s">
        <v>1067</v>
      </c>
      <c r="D103" s="64"/>
      <c r="E103" s="64"/>
      <c r="F103" s="64"/>
      <c r="G103" s="64"/>
      <c r="H103" s="65">
        <v>291500</v>
      </c>
      <c r="I103" s="64"/>
      <c r="J103" s="64"/>
      <c r="K103" s="64"/>
      <c r="L103" s="64"/>
      <c r="M103" s="64"/>
      <c r="N103" s="64"/>
      <c r="O103" s="64">
        <v>291500</v>
      </c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49">
        <f t="shared" si="14"/>
        <v>291500</v>
      </c>
      <c r="AC103" s="49">
        <f t="shared" si="12"/>
        <v>0</v>
      </c>
      <c r="AD103"/>
    </row>
    <row r="104" spans="1:30" s="61" customFormat="1" ht="15.5">
      <c r="A104" s="64" t="s">
        <v>429</v>
      </c>
      <c r="B104" s="64" t="s">
        <v>430</v>
      </c>
      <c r="C104" s="64" t="s">
        <v>431</v>
      </c>
      <c r="D104" s="64">
        <v>51785.7143</v>
      </c>
      <c r="E104" s="64">
        <v>580000</v>
      </c>
      <c r="F104" s="64">
        <f>+E104-D104</f>
        <v>528214.28570000001</v>
      </c>
      <c r="G104" s="64" t="s">
        <v>8</v>
      </c>
      <c r="H104" s="65">
        <f>+E104</f>
        <v>580000</v>
      </c>
      <c r="I104" s="79">
        <f>+H104</f>
        <v>580000</v>
      </c>
      <c r="J104" s="65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49">
        <f t="shared" si="14"/>
        <v>580000</v>
      </c>
      <c r="AC104" s="49">
        <f t="shared" si="12"/>
        <v>0</v>
      </c>
      <c r="AD104" t="s">
        <v>743</v>
      </c>
    </row>
    <row r="105" spans="1:30" s="61" customFormat="1" ht="15.5">
      <c r="A105" s="64" t="s">
        <v>429</v>
      </c>
      <c r="B105" s="64" t="s">
        <v>1069</v>
      </c>
      <c r="C105" s="64" t="s">
        <v>1070</v>
      </c>
      <c r="D105" s="64"/>
      <c r="E105" s="64"/>
      <c r="F105" s="64"/>
      <c r="G105" s="64"/>
      <c r="H105" s="65">
        <v>650000</v>
      </c>
      <c r="I105" s="64">
        <v>650000</v>
      </c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49">
        <f t="shared" si="14"/>
        <v>650000</v>
      </c>
      <c r="AC105" s="49">
        <f t="shared" si="12"/>
        <v>0</v>
      </c>
      <c r="AD105"/>
    </row>
    <row r="106" spans="1:30" s="61" customFormat="1" ht="15.5">
      <c r="A106" s="64" t="s">
        <v>429</v>
      </c>
      <c r="B106" s="64" t="s">
        <v>111</v>
      </c>
      <c r="C106" s="64" t="s">
        <v>112</v>
      </c>
      <c r="D106" s="64">
        <v>90909.090909000006</v>
      </c>
      <c r="E106" s="64">
        <v>1000000</v>
      </c>
      <c r="F106" s="64">
        <f t="shared" ref="F106:F111" si="15">+E106-D106</f>
        <v>909090.90909099998</v>
      </c>
      <c r="G106" s="64" t="s">
        <v>8</v>
      </c>
      <c r="H106" s="65">
        <f t="shared" ref="H106:H111" si="16">+E106</f>
        <v>1000000</v>
      </c>
      <c r="I106" s="64"/>
      <c r="J106" s="64"/>
      <c r="K106" s="64"/>
      <c r="L106" s="64"/>
      <c r="M106" s="64"/>
      <c r="N106" s="65">
        <f>+H106</f>
        <v>1000000</v>
      </c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49">
        <f t="shared" si="14"/>
        <v>1000000</v>
      </c>
      <c r="AC106" s="49">
        <f t="shared" si="12"/>
        <v>0</v>
      </c>
      <c r="AD106" t="s">
        <v>743</v>
      </c>
    </row>
    <row r="107" spans="1:30" s="61" customFormat="1" ht="15.5">
      <c r="A107" s="64" t="s">
        <v>424</v>
      </c>
      <c r="B107" s="64" t="s">
        <v>427</v>
      </c>
      <c r="C107" s="64" t="s">
        <v>428</v>
      </c>
      <c r="D107" s="64">
        <v>6363.636364</v>
      </c>
      <c r="E107" s="64">
        <v>70000</v>
      </c>
      <c r="F107" s="64">
        <f t="shared" si="15"/>
        <v>63636.363636000002</v>
      </c>
      <c r="G107" s="64" t="s">
        <v>8</v>
      </c>
      <c r="H107" s="65">
        <f t="shared" si="16"/>
        <v>70000</v>
      </c>
      <c r="I107" s="64"/>
      <c r="J107" s="64"/>
      <c r="K107" s="64"/>
      <c r="L107" s="64"/>
      <c r="M107" s="64"/>
      <c r="N107" s="65">
        <f>+H107</f>
        <v>70000</v>
      </c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49">
        <f t="shared" si="14"/>
        <v>70000</v>
      </c>
      <c r="AC107" s="49">
        <f t="shared" si="12"/>
        <v>0</v>
      </c>
      <c r="AD107" t="s">
        <v>743</v>
      </c>
    </row>
    <row r="108" spans="1:30" s="61" customFormat="1" ht="15.5">
      <c r="A108" s="64" t="s">
        <v>424</v>
      </c>
      <c r="B108" s="64" t="s">
        <v>149</v>
      </c>
      <c r="C108" s="64" t="s">
        <v>150</v>
      </c>
      <c r="D108" s="64">
        <v>7803.0844159999997</v>
      </c>
      <c r="E108" s="64">
        <v>86100</v>
      </c>
      <c r="F108" s="64">
        <f t="shared" si="15"/>
        <v>78296.915584000002</v>
      </c>
      <c r="G108" s="64" t="s">
        <v>8</v>
      </c>
      <c r="H108" s="65">
        <f t="shared" si="16"/>
        <v>86100</v>
      </c>
      <c r="I108" s="64"/>
      <c r="J108" s="64"/>
      <c r="K108" s="65">
        <f>+H108</f>
        <v>86100</v>
      </c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49">
        <f t="shared" si="14"/>
        <v>86100</v>
      </c>
      <c r="AC108" s="49">
        <f t="shared" si="12"/>
        <v>0</v>
      </c>
      <c r="AD108" t="s">
        <v>743</v>
      </c>
    </row>
    <row r="109" spans="1:30" s="61" customFormat="1" ht="15.5">
      <c r="A109" s="64" t="s">
        <v>424</v>
      </c>
      <c r="B109" s="64" t="s">
        <v>103</v>
      </c>
      <c r="C109" s="64" t="s">
        <v>104</v>
      </c>
      <c r="D109" s="64">
        <v>13454.55</v>
      </c>
      <c r="E109" s="64">
        <v>148000</v>
      </c>
      <c r="F109" s="64">
        <f t="shared" si="15"/>
        <v>134545.45000000001</v>
      </c>
      <c r="G109" s="64" t="s">
        <v>8</v>
      </c>
      <c r="H109" s="65">
        <f t="shared" si="16"/>
        <v>148000</v>
      </c>
      <c r="I109" s="65">
        <f>+H109</f>
        <v>148000</v>
      </c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49">
        <f t="shared" si="14"/>
        <v>148000</v>
      </c>
      <c r="AC109" s="49">
        <f t="shared" si="12"/>
        <v>0</v>
      </c>
      <c r="AD109" t="s">
        <v>743</v>
      </c>
    </row>
    <row r="110" spans="1:30" s="61" customFormat="1" ht="15.5">
      <c r="A110" s="64" t="s">
        <v>424</v>
      </c>
      <c r="B110" s="64" t="s">
        <v>308</v>
      </c>
      <c r="C110" s="64" t="s">
        <v>309</v>
      </c>
      <c r="D110" s="64">
        <v>14178.571429</v>
      </c>
      <c r="E110" s="64">
        <v>158800</v>
      </c>
      <c r="F110" s="64">
        <f t="shared" si="15"/>
        <v>144621.428571</v>
      </c>
      <c r="G110" s="64" t="s">
        <v>8</v>
      </c>
      <c r="H110" s="65">
        <f t="shared" si="16"/>
        <v>158800</v>
      </c>
      <c r="I110" s="65">
        <f>+H110</f>
        <v>158800</v>
      </c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49">
        <f t="shared" si="14"/>
        <v>158800</v>
      </c>
      <c r="AC110" s="49">
        <f t="shared" si="12"/>
        <v>0</v>
      </c>
      <c r="AD110" t="s">
        <v>743</v>
      </c>
    </row>
    <row r="111" spans="1:30" s="61" customFormat="1" ht="15.5">
      <c r="A111" s="64" t="s">
        <v>424</v>
      </c>
      <c r="B111" s="64" t="s">
        <v>425</v>
      </c>
      <c r="C111" s="64" t="s">
        <v>426</v>
      </c>
      <c r="D111" s="64">
        <v>0</v>
      </c>
      <c r="E111" s="64">
        <v>500000</v>
      </c>
      <c r="F111" s="64">
        <f t="shared" si="15"/>
        <v>500000</v>
      </c>
      <c r="G111" s="64" t="s">
        <v>8</v>
      </c>
      <c r="H111" s="65">
        <f t="shared" si="16"/>
        <v>500000</v>
      </c>
      <c r="I111" s="64"/>
      <c r="J111" s="64"/>
      <c r="K111" s="64"/>
      <c r="L111" s="64"/>
      <c r="M111" s="64"/>
      <c r="N111" s="65">
        <f>+H111</f>
        <v>500000</v>
      </c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49">
        <f t="shared" si="14"/>
        <v>500000</v>
      </c>
      <c r="AC111" s="49">
        <f t="shared" si="12"/>
        <v>0</v>
      </c>
      <c r="AD111" t="s">
        <v>743</v>
      </c>
    </row>
    <row r="112" spans="1:30" s="61" customFormat="1" ht="15.5">
      <c r="A112" s="64" t="s">
        <v>419</v>
      </c>
      <c r="B112" s="64" t="s">
        <v>1072</v>
      </c>
      <c r="C112" s="64" t="s">
        <v>1071</v>
      </c>
      <c r="D112" s="64"/>
      <c r="E112" s="64"/>
      <c r="F112" s="64"/>
      <c r="G112" s="64"/>
      <c r="H112" s="65">
        <v>200</v>
      </c>
      <c r="I112" s="64">
        <f t="shared" ref="I112:I123" si="17">+H112</f>
        <v>200</v>
      </c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49">
        <f t="shared" si="14"/>
        <v>200</v>
      </c>
      <c r="AC112" s="49">
        <f t="shared" si="12"/>
        <v>0</v>
      </c>
      <c r="AD112"/>
    </row>
    <row r="113" spans="1:30" s="61" customFormat="1" ht="15.5">
      <c r="A113" s="64" t="s">
        <v>419</v>
      </c>
      <c r="B113" s="64" t="s">
        <v>1074</v>
      </c>
      <c r="C113" s="64" t="s">
        <v>1073</v>
      </c>
      <c r="D113" s="64"/>
      <c r="E113" s="64"/>
      <c r="F113" s="64"/>
      <c r="G113" s="64"/>
      <c r="H113" s="65">
        <v>200</v>
      </c>
      <c r="I113" s="64">
        <f t="shared" si="17"/>
        <v>200</v>
      </c>
      <c r="J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49">
        <f t="shared" si="14"/>
        <v>200</v>
      </c>
      <c r="AC113" s="49">
        <f t="shared" si="12"/>
        <v>0</v>
      </c>
      <c r="AD113"/>
    </row>
    <row r="114" spans="1:30" s="61" customFormat="1" ht="15.5">
      <c r="A114" s="64" t="s">
        <v>419</v>
      </c>
      <c r="B114" s="64" t="s">
        <v>1077</v>
      </c>
      <c r="C114" s="64" t="s">
        <v>1076</v>
      </c>
      <c r="D114" s="64"/>
      <c r="E114" s="64"/>
      <c r="F114" s="64"/>
      <c r="G114" s="64"/>
      <c r="H114" s="65">
        <v>200</v>
      </c>
      <c r="I114" s="64">
        <f t="shared" si="17"/>
        <v>200</v>
      </c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49">
        <f t="shared" si="14"/>
        <v>200</v>
      </c>
      <c r="AC114" s="49">
        <f t="shared" si="12"/>
        <v>0</v>
      </c>
      <c r="AD114"/>
    </row>
    <row r="115" spans="1:30" s="61" customFormat="1" ht="15.5">
      <c r="A115" s="64" t="s">
        <v>419</v>
      </c>
      <c r="B115" s="64" t="s">
        <v>1079</v>
      </c>
      <c r="C115" s="64" t="s">
        <v>1078</v>
      </c>
      <c r="D115" s="64"/>
      <c r="E115" s="64"/>
      <c r="F115" s="64"/>
      <c r="G115" s="64"/>
      <c r="H115" s="65">
        <v>200</v>
      </c>
      <c r="I115" s="64">
        <f t="shared" si="17"/>
        <v>200</v>
      </c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49">
        <f t="shared" si="14"/>
        <v>200</v>
      </c>
      <c r="AC115" s="49">
        <f t="shared" si="12"/>
        <v>0</v>
      </c>
      <c r="AD115"/>
    </row>
    <row r="116" spans="1:30" s="61" customFormat="1" ht="15.5">
      <c r="A116" s="64" t="s">
        <v>419</v>
      </c>
      <c r="B116" s="64" t="s">
        <v>943</v>
      </c>
      <c r="C116" s="64" t="s">
        <v>1081</v>
      </c>
      <c r="D116" s="64"/>
      <c r="E116" s="64"/>
      <c r="F116" s="64"/>
      <c r="G116" s="64"/>
      <c r="H116" s="65">
        <v>200</v>
      </c>
      <c r="I116" s="64">
        <f t="shared" si="17"/>
        <v>200</v>
      </c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49">
        <f t="shared" si="14"/>
        <v>200</v>
      </c>
      <c r="AC116" s="49">
        <f t="shared" si="12"/>
        <v>0</v>
      </c>
      <c r="AD116"/>
    </row>
    <row r="117" spans="1:30" s="61" customFormat="1" ht="15.5">
      <c r="A117" s="64" t="s">
        <v>419</v>
      </c>
      <c r="B117" s="64" t="s">
        <v>1083</v>
      </c>
      <c r="C117" s="64" t="s">
        <v>1082</v>
      </c>
      <c r="D117" s="64"/>
      <c r="E117" s="64"/>
      <c r="F117" s="64"/>
      <c r="G117" s="64"/>
      <c r="H117" s="65">
        <v>200</v>
      </c>
      <c r="I117" s="64">
        <f t="shared" si="17"/>
        <v>200</v>
      </c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49">
        <f t="shared" si="14"/>
        <v>200</v>
      </c>
      <c r="AC117" s="49">
        <f t="shared" si="12"/>
        <v>0</v>
      </c>
      <c r="AD117"/>
    </row>
    <row r="118" spans="1:30" s="61" customFormat="1" ht="15.5">
      <c r="A118" s="64" t="s">
        <v>419</v>
      </c>
      <c r="B118" s="64" t="s">
        <v>1069</v>
      </c>
      <c r="C118" s="64" t="s">
        <v>1085</v>
      </c>
      <c r="D118" s="64"/>
      <c r="E118" s="64"/>
      <c r="F118" s="64"/>
      <c r="G118" s="64"/>
      <c r="H118" s="65">
        <v>200</v>
      </c>
      <c r="I118" s="64">
        <f t="shared" si="17"/>
        <v>200</v>
      </c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49">
        <f t="shared" si="14"/>
        <v>200</v>
      </c>
      <c r="AC118" s="49">
        <f t="shared" si="12"/>
        <v>0</v>
      </c>
      <c r="AD118"/>
    </row>
    <row r="119" spans="1:30" s="61" customFormat="1" ht="15.5">
      <c r="A119" s="64" t="s">
        <v>419</v>
      </c>
      <c r="B119" s="64" t="s">
        <v>977</v>
      </c>
      <c r="C119" s="64" t="s">
        <v>1087</v>
      </c>
      <c r="D119" s="64"/>
      <c r="E119" s="64"/>
      <c r="F119" s="64"/>
      <c r="G119" s="64"/>
      <c r="H119" s="65">
        <v>200</v>
      </c>
      <c r="I119" s="64">
        <f t="shared" si="17"/>
        <v>200</v>
      </c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49">
        <f t="shared" si="14"/>
        <v>200</v>
      </c>
      <c r="AC119" s="49">
        <f t="shared" si="12"/>
        <v>0</v>
      </c>
      <c r="AD119"/>
    </row>
    <row r="120" spans="1:30" s="61" customFormat="1" ht="15.5">
      <c r="A120" s="64" t="s">
        <v>419</v>
      </c>
      <c r="B120" s="64" t="s">
        <v>1090</v>
      </c>
      <c r="C120" s="64" t="s">
        <v>1089</v>
      </c>
      <c r="D120" s="64"/>
      <c r="E120" s="64"/>
      <c r="F120" s="64"/>
      <c r="G120" s="64"/>
      <c r="H120" s="65">
        <v>200</v>
      </c>
      <c r="I120" s="64">
        <f t="shared" si="17"/>
        <v>200</v>
      </c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49">
        <f t="shared" si="14"/>
        <v>200</v>
      </c>
      <c r="AC120" s="49">
        <f t="shared" si="12"/>
        <v>0</v>
      </c>
      <c r="AD120"/>
    </row>
    <row r="121" spans="1:30" s="61" customFormat="1" ht="15.5">
      <c r="A121" s="64" t="s">
        <v>419</v>
      </c>
      <c r="B121" s="64" t="s">
        <v>1093</v>
      </c>
      <c r="C121" s="64" t="s">
        <v>1092</v>
      </c>
      <c r="D121" s="64"/>
      <c r="E121" s="64"/>
      <c r="F121" s="64"/>
      <c r="G121" s="64"/>
      <c r="H121" s="65">
        <v>200</v>
      </c>
      <c r="I121" s="64">
        <f t="shared" si="17"/>
        <v>200</v>
      </c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49">
        <f t="shared" si="14"/>
        <v>200</v>
      </c>
      <c r="AC121" s="49">
        <f t="shared" si="12"/>
        <v>0</v>
      </c>
      <c r="AD121"/>
    </row>
    <row r="122" spans="1:30" s="61" customFormat="1" ht="15.5">
      <c r="A122" s="64" t="s">
        <v>419</v>
      </c>
      <c r="B122" s="64" t="s">
        <v>930</v>
      </c>
      <c r="C122" s="64" t="s">
        <v>1094</v>
      </c>
      <c r="D122" s="64"/>
      <c r="E122" s="64"/>
      <c r="F122" s="64"/>
      <c r="G122" s="64"/>
      <c r="H122" s="65">
        <v>200</v>
      </c>
      <c r="I122" s="64">
        <f t="shared" si="17"/>
        <v>200</v>
      </c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49">
        <f t="shared" si="14"/>
        <v>200</v>
      </c>
      <c r="AC122" s="49">
        <f t="shared" si="12"/>
        <v>0</v>
      </c>
      <c r="AD122"/>
    </row>
    <row r="123" spans="1:30" s="61" customFormat="1" ht="15.5">
      <c r="A123" s="64" t="s">
        <v>419</v>
      </c>
      <c r="B123" s="64" t="s">
        <v>241</v>
      </c>
      <c r="C123" s="64" t="s">
        <v>242</v>
      </c>
      <c r="D123" s="64">
        <v>2000</v>
      </c>
      <c r="E123" s="64">
        <v>22000</v>
      </c>
      <c r="F123" s="64">
        <f t="shared" ref="F123:F128" si="18">+E123-D123</f>
        <v>20000</v>
      </c>
      <c r="G123" s="64" t="s">
        <v>8</v>
      </c>
      <c r="H123" s="65">
        <f t="shared" ref="H123:H128" si="19">+E123</f>
        <v>22000</v>
      </c>
      <c r="I123" s="65">
        <f t="shared" si="17"/>
        <v>22000</v>
      </c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49">
        <f t="shared" si="14"/>
        <v>22000</v>
      </c>
      <c r="AC123" s="49">
        <f t="shared" si="12"/>
        <v>0</v>
      </c>
      <c r="AD123" t="s">
        <v>743</v>
      </c>
    </row>
    <row r="124" spans="1:30" s="61" customFormat="1" ht="15.5">
      <c r="A124" s="64" t="s">
        <v>419</v>
      </c>
      <c r="B124" s="64" t="s">
        <v>103</v>
      </c>
      <c r="C124" s="64" t="s">
        <v>104</v>
      </c>
      <c r="D124" s="64">
        <v>4036.36</v>
      </c>
      <c r="E124" s="64">
        <v>44400</v>
      </c>
      <c r="F124" s="64">
        <f t="shared" si="18"/>
        <v>40363.64</v>
      </c>
      <c r="G124" s="64" t="s">
        <v>8</v>
      </c>
      <c r="H124" s="65">
        <f t="shared" si="19"/>
        <v>44400</v>
      </c>
      <c r="I124"/>
      <c r="J124" s="64"/>
      <c r="K124" s="64"/>
      <c r="L124" s="64"/>
      <c r="M124" s="65">
        <f>+H124</f>
        <v>44400</v>
      </c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49">
        <f>SUM(J124:AA124)</f>
        <v>44400</v>
      </c>
      <c r="AC124" s="49">
        <f t="shared" si="12"/>
        <v>0</v>
      </c>
      <c r="AD124" t="s">
        <v>743</v>
      </c>
    </row>
    <row r="125" spans="1:30" s="61" customFormat="1" ht="15.5">
      <c r="A125" s="64" t="s">
        <v>419</v>
      </c>
      <c r="B125" s="64" t="s">
        <v>103</v>
      </c>
      <c r="C125" s="64" t="s">
        <v>104</v>
      </c>
      <c r="D125" s="64">
        <v>4309.09</v>
      </c>
      <c r="E125" s="64">
        <v>47400</v>
      </c>
      <c r="F125" s="64">
        <f t="shared" si="18"/>
        <v>43090.91</v>
      </c>
      <c r="G125" s="64" t="s">
        <v>8</v>
      </c>
      <c r="H125" s="65">
        <f t="shared" si="19"/>
        <v>47400</v>
      </c>
      <c r="I125" s="65">
        <f>+H125</f>
        <v>47400</v>
      </c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49">
        <f t="shared" ref="AB125:AB167" si="20">SUM(I125:AA125)</f>
        <v>47400</v>
      </c>
      <c r="AC125" s="49">
        <f t="shared" si="12"/>
        <v>0</v>
      </c>
      <c r="AD125" t="s">
        <v>743</v>
      </c>
    </row>
    <row r="126" spans="1:30" s="61" customFormat="1" ht="15.5">
      <c r="A126" s="64" t="s">
        <v>419</v>
      </c>
      <c r="B126" s="64" t="s">
        <v>420</v>
      </c>
      <c r="C126" s="64" t="s">
        <v>421</v>
      </c>
      <c r="D126" s="64">
        <v>4400</v>
      </c>
      <c r="E126" s="64">
        <v>48400</v>
      </c>
      <c r="F126" s="64">
        <f t="shared" si="18"/>
        <v>44000</v>
      </c>
      <c r="G126" s="64" t="s">
        <v>8</v>
      </c>
      <c r="H126" s="65">
        <f t="shared" si="19"/>
        <v>48400</v>
      </c>
      <c r="I126" s="64"/>
      <c r="J126" s="64"/>
      <c r="K126" s="64"/>
      <c r="L126" s="64"/>
      <c r="M126" s="64"/>
      <c r="N126" s="65">
        <f>+H126</f>
        <v>48400</v>
      </c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49">
        <f t="shared" si="20"/>
        <v>48400</v>
      </c>
      <c r="AC126" s="49">
        <f t="shared" si="12"/>
        <v>0</v>
      </c>
      <c r="AD126" t="s">
        <v>743</v>
      </c>
    </row>
    <row r="127" spans="1:30" s="61" customFormat="1" ht="15.5">
      <c r="A127" s="64" t="s">
        <v>419</v>
      </c>
      <c r="B127" s="64" t="s">
        <v>241</v>
      </c>
      <c r="C127" s="64" t="s">
        <v>242</v>
      </c>
      <c r="D127" s="64">
        <v>12400</v>
      </c>
      <c r="E127" s="64">
        <v>136400</v>
      </c>
      <c r="F127" s="64">
        <f t="shared" si="18"/>
        <v>124000</v>
      </c>
      <c r="G127" s="64" t="s">
        <v>8</v>
      </c>
      <c r="H127" s="65">
        <f t="shared" si="19"/>
        <v>136400</v>
      </c>
      <c r="I127" s="64"/>
      <c r="J127" s="64"/>
      <c r="K127" s="64"/>
      <c r="L127" s="64"/>
      <c r="M127" s="64"/>
      <c r="N127" s="64"/>
      <c r="O127" s="65">
        <f>+H127</f>
        <v>136400</v>
      </c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49">
        <f t="shared" si="20"/>
        <v>136400</v>
      </c>
      <c r="AC127" s="49">
        <f t="shared" si="12"/>
        <v>0</v>
      </c>
      <c r="AD127" t="s">
        <v>743</v>
      </c>
    </row>
    <row r="128" spans="1:30" s="61" customFormat="1" ht="15.5">
      <c r="A128" s="64" t="s">
        <v>419</v>
      </c>
      <c r="B128" s="64" t="s">
        <v>241</v>
      </c>
      <c r="C128" s="64" t="s">
        <v>242</v>
      </c>
      <c r="D128" s="64">
        <v>13200</v>
      </c>
      <c r="E128" s="64">
        <v>145200</v>
      </c>
      <c r="F128" s="64">
        <f t="shared" si="18"/>
        <v>132000</v>
      </c>
      <c r="G128" s="64" t="s">
        <v>8</v>
      </c>
      <c r="H128" s="65">
        <f t="shared" si="19"/>
        <v>145200</v>
      </c>
      <c r="I128" s="64"/>
      <c r="J128" s="64"/>
      <c r="K128" s="64"/>
      <c r="L128" s="64"/>
      <c r="M128" s="64"/>
      <c r="N128" s="64"/>
      <c r="O128" s="65">
        <f>+H128</f>
        <v>145200</v>
      </c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49">
        <f t="shared" si="20"/>
        <v>145200</v>
      </c>
      <c r="AC128" s="49">
        <f t="shared" si="12"/>
        <v>0</v>
      </c>
      <c r="AD128" t="s">
        <v>743</v>
      </c>
    </row>
    <row r="129" spans="1:30" s="61" customFormat="1" ht="15.5">
      <c r="A129" s="64" t="s">
        <v>419</v>
      </c>
      <c r="B129" s="64" t="s">
        <v>1083</v>
      </c>
      <c r="C129" s="64" t="s">
        <v>1084</v>
      </c>
      <c r="D129" s="64"/>
      <c r="E129" s="64"/>
      <c r="F129" s="64"/>
      <c r="G129" s="64"/>
      <c r="H129" s="65">
        <v>255000</v>
      </c>
      <c r="I129" s="64"/>
      <c r="J129" s="64"/>
      <c r="K129" s="64"/>
      <c r="L129" s="64"/>
      <c r="M129" s="64"/>
      <c r="N129" s="64">
        <f>+H129</f>
        <v>255000</v>
      </c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49">
        <f t="shared" si="20"/>
        <v>255000</v>
      </c>
      <c r="AC129" s="49">
        <f t="shared" si="12"/>
        <v>0</v>
      </c>
      <c r="AD129"/>
    </row>
    <row r="130" spans="1:30" s="61" customFormat="1" ht="15.5">
      <c r="A130" s="64" t="s">
        <v>419</v>
      </c>
      <c r="B130" s="64" t="s">
        <v>1074</v>
      </c>
      <c r="C130" s="64" t="s">
        <v>1075</v>
      </c>
      <c r="D130" s="64"/>
      <c r="E130" s="64"/>
      <c r="F130" s="64"/>
      <c r="G130" s="64"/>
      <c r="H130" s="65">
        <v>390000</v>
      </c>
      <c r="I130" s="64"/>
      <c r="J130" s="64"/>
      <c r="K130" s="64"/>
      <c r="L130" s="64"/>
      <c r="M130" s="64"/>
      <c r="N130" s="64">
        <f>+H130</f>
        <v>390000</v>
      </c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49">
        <f t="shared" si="20"/>
        <v>390000</v>
      </c>
      <c r="AC130" s="49">
        <f t="shared" si="12"/>
        <v>0</v>
      </c>
      <c r="AD130"/>
    </row>
    <row r="131" spans="1:30" s="61" customFormat="1" ht="15.5">
      <c r="A131" s="64" t="s">
        <v>419</v>
      </c>
      <c r="B131" s="64" t="s">
        <v>422</v>
      </c>
      <c r="C131" s="64" t="s">
        <v>423</v>
      </c>
      <c r="D131" s="64">
        <v>47956.363636000002</v>
      </c>
      <c r="E131" s="64">
        <v>527520</v>
      </c>
      <c r="F131" s="64">
        <f>+E131-D131</f>
        <v>479563.63636399998</v>
      </c>
      <c r="G131" s="64" t="s">
        <v>8</v>
      </c>
      <c r="H131" s="65">
        <f>+E131</f>
        <v>527520</v>
      </c>
      <c r="I131" s="64"/>
      <c r="J131" s="64"/>
      <c r="K131" s="64"/>
      <c r="L131" s="64"/>
      <c r="M131" s="64"/>
      <c r="N131" s="65">
        <f>+H131</f>
        <v>527520</v>
      </c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49">
        <f t="shared" si="20"/>
        <v>527520</v>
      </c>
      <c r="AC131" s="49">
        <f t="shared" si="12"/>
        <v>0</v>
      </c>
      <c r="AD131" t="s">
        <v>743</v>
      </c>
    </row>
    <row r="132" spans="1:30" s="61" customFormat="1" ht="15.5">
      <c r="A132" s="64" t="s">
        <v>419</v>
      </c>
      <c r="B132" s="64" t="s">
        <v>1069</v>
      </c>
      <c r="C132" s="64" t="s">
        <v>1086</v>
      </c>
      <c r="D132" s="64"/>
      <c r="E132" s="64"/>
      <c r="F132" s="64"/>
      <c r="G132" s="64"/>
      <c r="H132" s="65">
        <v>2168000</v>
      </c>
      <c r="I132" s="64"/>
      <c r="J132" s="64"/>
      <c r="K132" s="64"/>
      <c r="L132" s="64"/>
      <c r="M132" s="64">
        <v>2168000</v>
      </c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49">
        <f t="shared" si="20"/>
        <v>2168000</v>
      </c>
      <c r="AC132" s="49">
        <f t="shared" si="12"/>
        <v>0</v>
      </c>
      <c r="AD132"/>
    </row>
    <row r="133" spans="1:30" s="61" customFormat="1" ht="15.5">
      <c r="A133" s="64" t="s">
        <v>419</v>
      </c>
      <c r="B133" s="64" t="s">
        <v>1079</v>
      </c>
      <c r="C133" s="64" t="s">
        <v>1080</v>
      </c>
      <c r="D133" s="64"/>
      <c r="E133" s="64"/>
      <c r="F133" s="64"/>
      <c r="G133" s="64"/>
      <c r="H133" s="65">
        <v>3293400</v>
      </c>
      <c r="I133" s="64"/>
      <c r="J133" s="64"/>
      <c r="K133" s="64"/>
      <c r="L133" s="64"/>
      <c r="M133" s="64"/>
      <c r="N133" s="64">
        <f>+H133</f>
        <v>3293400</v>
      </c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49">
        <f t="shared" si="20"/>
        <v>3293400</v>
      </c>
      <c r="AC133" s="49">
        <f t="shared" si="12"/>
        <v>0</v>
      </c>
      <c r="AD133"/>
    </row>
    <row r="134" spans="1:30" s="61" customFormat="1" ht="15.5">
      <c r="A134" s="64" t="s">
        <v>419</v>
      </c>
      <c r="B134" s="64" t="s">
        <v>1090</v>
      </c>
      <c r="C134" s="64" t="s">
        <v>1091</v>
      </c>
      <c r="D134" s="64"/>
      <c r="E134" s="64"/>
      <c r="F134" s="64"/>
      <c r="G134" s="64"/>
      <c r="H134" s="65">
        <v>4456093</v>
      </c>
      <c r="I134" s="64"/>
      <c r="J134" s="64">
        <v>4456093</v>
      </c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49">
        <f t="shared" si="20"/>
        <v>4456093</v>
      </c>
      <c r="AC134" s="49">
        <f t="shared" ref="AC134:AC197" si="21">+AB134-H134</f>
        <v>0</v>
      </c>
      <c r="AD134"/>
    </row>
    <row r="135" spans="1:30" ht="15.5">
      <c r="A135" s="64" t="s">
        <v>419</v>
      </c>
      <c r="B135" s="64" t="s">
        <v>977</v>
      </c>
      <c r="C135" s="64" t="s">
        <v>1088</v>
      </c>
      <c r="D135" s="64"/>
      <c r="E135" s="64"/>
      <c r="F135" s="64"/>
      <c r="G135" s="64"/>
      <c r="H135" s="65">
        <v>4953200</v>
      </c>
      <c r="I135" s="64"/>
      <c r="J135" s="64"/>
      <c r="K135" s="64"/>
      <c r="L135" s="64"/>
      <c r="M135" s="64"/>
      <c r="N135" s="64"/>
      <c r="O135" s="64">
        <v>4953200</v>
      </c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49">
        <f t="shared" si="20"/>
        <v>4953200</v>
      </c>
      <c r="AC135" s="49">
        <f t="shared" si="21"/>
        <v>0</v>
      </c>
      <c r="AD135"/>
    </row>
    <row r="136" spans="1:30" ht="15.5">
      <c r="A136" s="64" t="s">
        <v>416</v>
      </c>
      <c r="B136" s="64" t="s">
        <v>943</v>
      </c>
      <c r="C136" s="64" t="s">
        <v>1095</v>
      </c>
      <c r="D136" s="64"/>
      <c r="E136" s="64"/>
      <c r="F136" s="64"/>
      <c r="G136" s="64"/>
      <c r="H136" s="65">
        <v>200</v>
      </c>
      <c r="I136" s="64">
        <f>+H136</f>
        <v>200</v>
      </c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49">
        <f t="shared" si="20"/>
        <v>200</v>
      </c>
      <c r="AC136" s="49">
        <f t="shared" si="21"/>
        <v>0</v>
      </c>
      <c r="AD136"/>
    </row>
    <row r="137" spans="1:30" ht="15.5">
      <c r="A137" s="64" t="s">
        <v>416</v>
      </c>
      <c r="B137" s="64" t="s">
        <v>1099</v>
      </c>
      <c r="C137" s="64" t="s">
        <v>1098</v>
      </c>
      <c r="D137" s="64"/>
      <c r="E137" s="64"/>
      <c r="F137" s="64"/>
      <c r="G137" s="64"/>
      <c r="H137" s="65">
        <v>200</v>
      </c>
      <c r="I137" s="64">
        <f>+H137</f>
        <v>200</v>
      </c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49">
        <f t="shared" si="20"/>
        <v>200</v>
      </c>
      <c r="AC137" s="49">
        <f t="shared" si="21"/>
        <v>0</v>
      </c>
      <c r="AD137"/>
    </row>
    <row r="138" spans="1:30" ht="15.5">
      <c r="A138" s="64" t="s">
        <v>416</v>
      </c>
      <c r="B138" s="64" t="s">
        <v>1102</v>
      </c>
      <c r="C138" s="64" t="s">
        <v>1101</v>
      </c>
      <c r="D138" s="64"/>
      <c r="E138" s="64"/>
      <c r="F138" s="64"/>
      <c r="G138" s="64"/>
      <c r="H138" s="65">
        <v>200</v>
      </c>
      <c r="I138" s="64">
        <f>+H138</f>
        <v>200</v>
      </c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49">
        <f t="shared" si="20"/>
        <v>200</v>
      </c>
      <c r="AC138" s="49">
        <f t="shared" si="21"/>
        <v>0</v>
      </c>
      <c r="AD138"/>
    </row>
    <row r="139" spans="1:30" ht="15.5">
      <c r="A139" s="64" t="s">
        <v>416</v>
      </c>
      <c r="B139" s="64" t="s">
        <v>914</v>
      </c>
      <c r="C139" s="64" t="s">
        <v>1104</v>
      </c>
      <c r="D139" s="64"/>
      <c r="E139" s="64"/>
      <c r="F139" s="64"/>
      <c r="G139" s="64"/>
      <c r="H139" s="65">
        <v>200</v>
      </c>
      <c r="I139" s="64">
        <f>+H139</f>
        <v>200</v>
      </c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49">
        <f t="shared" si="20"/>
        <v>200</v>
      </c>
      <c r="AC139" s="49">
        <f t="shared" si="21"/>
        <v>0</v>
      </c>
      <c r="AD139"/>
    </row>
    <row r="140" spans="1:30" ht="15.5">
      <c r="A140" s="64" t="s">
        <v>416</v>
      </c>
      <c r="B140" s="64" t="s">
        <v>103</v>
      </c>
      <c r="C140" s="64" t="s">
        <v>104</v>
      </c>
      <c r="D140" s="64">
        <v>5472.73</v>
      </c>
      <c r="E140" s="64">
        <v>60200</v>
      </c>
      <c r="F140" s="64">
        <f>+E140-D140</f>
        <v>54727.270000000004</v>
      </c>
      <c r="G140" s="64" t="s">
        <v>8</v>
      </c>
      <c r="H140" s="65">
        <f>+E140</f>
        <v>60200</v>
      </c>
      <c r="I140" s="65">
        <f>+H140</f>
        <v>60200</v>
      </c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49">
        <f t="shared" si="20"/>
        <v>60200</v>
      </c>
      <c r="AC140" s="49">
        <f t="shared" si="21"/>
        <v>0</v>
      </c>
      <c r="AD140" t="s">
        <v>743</v>
      </c>
    </row>
    <row r="141" spans="1:30" ht="15.5">
      <c r="A141" s="64" t="s">
        <v>416</v>
      </c>
      <c r="B141" s="64" t="s">
        <v>1099</v>
      </c>
      <c r="C141" s="64" t="s">
        <v>1100</v>
      </c>
      <c r="D141" s="64"/>
      <c r="E141" s="64"/>
      <c r="F141" s="64"/>
      <c r="G141" s="64"/>
      <c r="H141" s="65">
        <v>130000</v>
      </c>
      <c r="I141" s="64"/>
      <c r="J141" s="64"/>
      <c r="K141" s="64"/>
      <c r="L141" s="64"/>
      <c r="M141" s="64"/>
      <c r="N141" s="64"/>
      <c r="O141" s="64"/>
      <c r="P141" s="64">
        <v>130000</v>
      </c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49">
        <f t="shared" si="20"/>
        <v>130000</v>
      </c>
      <c r="AC141" s="49">
        <f t="shared" si="21"/>
        <v>0</v>
      </c>
      <c r="AD141"/>
    </row>
    <row r="142" spans="1:30" ht="15.5">
      <c r="A142" s="64" t="s">
        <v>416</v>
      </c>
      <c r="B142" s="64" t="s">
        <v>156</v>
      </c>
      <c r="C142" s="64" t="s">
        <v>157</v>
      </c>
      <c r="D142" s="64">
        <v>13640</v>
      </c>
      <c r="E142" s="64">
        <v>150040</v>
      </c>
      <c r="F142" s="64">
        <f>+E142-D142</f>
        <v>136400</v>
      </c>
      <c r="G142" s="64" t="s">
        <v>8</v>
      </c>
      <c r="H142" s="65">
        <f>+E142</f>
        <v>150040</v>
      </c>
      <c r="I142" s="65">
        <f>+H142</f>
        <v>150040</v>
      </c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49">
        <f t="shared" si="20"/>
        <v>150040</v>
      </c>
      <c r="AC142" s="49">
        <f t="shared" si="21"/>
        <v>0</v>
      </c>
      <c r="AD142" t="s">
        <v>743</v>
      </c>
    </row>
    <row r="143" spans="1:30" ht="15.5">
      <c r="A143" s="64" t="s">
        <v>416</v>
      </c>
      <c r="B143" s="64" t="s">
        <v>103</v>
      </c>
      <c r="C143" s="64" t="s">
        <v>104</v>
      </c>
      <c r="D143" s="64">
        <v>15536.36</v>
      </c>
      <c r="E143" s="64">
        <v>170900</v>
      </c>
      <c r="F143" s="64">
        <f>+E143-D143</f>
        <v>155363.64000000001</v>
      </c>
      <c r="G143" s="64" t="s">
        <v>8</v>
      </c>
      <c r="H143" s="65">
        <f>+E143</f>
        <v>170900</v>
      </c>
      <c r="I143" s="64"/>
      <c r="J143" s="64"/>
      <c r="K143" s="65">
        <f>+H143</f>
        <v>170900</v>
      </c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49">
        <f t="shared" si="20"/>
        <v>170900</v>
      </c>
      <c r="AC143" s="49">
        <f t="shared" si="21"/>
        <v>0</v>
      </c>
      <c r="AD143" t="s">
        <v>743</v>
      </c>
    </row>
    <row r="144" spans="1:30" ht="15.5">
      <c r="A144" s="64" t="s">
        <v>416</v>
      </c>
      <c r="B144" s="64" t="s">
        <v>417</v>
      </c>
      <c r="C144" s="64" t="s">
        <v>418</v>
      </c>
      <c r="D144" s="64">
        <v>18122.91</v>
      </c>
      <c r="E144" s="64">
        <v>199352</v>
      </c>
      <c r="F144" s="64">
        <f>+E144-D144</f>
        <v>181229.09</v>
      </c>
      <c r="G144" s="64" t="s">
        <v>8</v>
      </c>
      <c r="H144" s="65">
        <f>+E144</f>
        <v>199352</v>
      </c>
      <c r="I144" s="65">
        <f>+H144</f>
        <v>199352</v>
      </c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49">
        <f t="shared" si="20"/>
        <v>199352</v>
      </c>
      <c r="AC144" s="49">
        <f t="shared" si="21"/>
        <v>0</v>
      </c>
      <c r="AD144" t="s">
        <v>743</v>
      </c>
    </row>
    <row r="145" spans="1:30" ht="15.5">
      <c r="A145" s="64" t="s">
        <v>416</v>
      </c>
      <c r="B145" s="64" t="s">
        <v>914</v>
      </c>
      <c r="C145" s="64" t="s">
        <v>1105</v>
      </c>
      <c r="D145" s="64"/>
      <c r="E145" s="64"/>
      <c r="F145" s="64"/>
      <c r="G145" s="64"/>
      <c r="H145" s="65">
        <v>200000</v>
      </c>
      <c r="I145" s="64">
        <v>200000</v>
      </c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49">
        <f t="shared" si="20"/>
        <v>200000</v>
      </c>
      <c r="AC145" s="49">
        <f t="shared" si="21"/>
        <v>0</v>
      </c>
      <c r="AD145"/>
    </row>
    <row r="146" spans="1:30" ht="15.5">
      <c r="A146" s="64" t="s">
        <v>416</v>
      </c>
      <c r="B146" s="64" t="s">
        <v>1102</v>
      </c>
      <c r="C146" s="64" t="s">
        <v>1103</v>
      </c>
      <c r="D146" s="64"/>
      <c r="E146" s="64"/>
      <c r="F146" s="64"/>
      <c r="G146" s="64"/>
      <c r="H146" s="65">
        <v>299500</v>
      </c>
      <c r="I146" s="64"/>
      <c r="J146" s="64"/>
      <c r="K146" s="64"/>
      <c r="L146" s="64"/>
      <c r="M146" s="64">
        <v>299500</v>
      </c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49">
        <f t="shared" si="20"/>
        <v>299500</v>
      </c>
      <c r="AC146" s="49">
        <f t="shared" si="21"/>
        <v>0</v>
      </c>
      <c r="AD146"/>
    </row>
    <row r="147" spans="1:30" ht="15.5">
      <c r="A147" s="64" t="s">
        <v>416</v>
      </c>
      <c r="B147" s="64" t="s">
        <v>943</v>
      </c>
      <c r="C147" s="64" t="s">
        <v>1096</v>
      </c>
      <c r="D147" s="64"/>
      <c r="E147" s="64"/>
      <c r="F147" s="64"/>
      <c r="G147" s="64"/>
      <c r="H147" s="65">
        <v>500000</v>
      </c>
      <c r="I147" s="64"/>
      <c r="J147" s="64">
        <v>500000</v>
      </c>
      <c r="K147" s="64" t="s">
        <v>1097</v>
      </c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49">
        <f t="shared" si="20"/>
        <v>500000</v>
      </c>
      <c r="AC147" s="49">
        <f t="shared" si="21"/>
        <v>0</v>
      </c>
      <c r="AD147"/>
    </row>
    <row r="148" spans="1:30" ht="15.5">
      <c r="A148" s="64" t="s">
        <v>411</v>
      </c>
      <c r="B148" s="64" t="s">
        <v>414</v>
      </c>
      <c r="C148" s="64" t="s">
        <v>415</v>
      </c>
      <c r="D148" s="64">
        <v>4910.71</v>
      </c>
      <c r="E148" s="64">
        <v>55000</v>
      </c>
      <c r="F148" s="64">
        <f t="shared" ref="F148:F153" si="22">+E148-D148</f>
        <v>50089.29</v>
      </c>
      <c r="G148" s="64" t="s">
        <v>8</v>
      </c>
      <c r="H148" s="65">
        <f t="shared" ref="H148:H153" si="23">+E148</f>
        <v>55000</v>
      </c>
      <c r="I148" s="64"/>
      <c r="J148" s="64"/>
      <c r="K148" s="65">
        <f>+H148</f>
        <v>55000</v>
      </c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49">
        <f t="shared" si="20"/>
        <v>55000</v>
      </c>
      <c r="AC148" s="49">
        <f t="shared" si="21"/>
        <v>0</v>
      </c>
      <c r="AD148" t="s">
        <v>743</v>
      </c>
    </row>
    <row r="149" spans="1:30" ht="15.5">
      <c r="A149" s="64" t="s">
        <v>411</v>
      </c>
      <c r="B149" s="64" t="s">
        <v>140</v>
      </c>
      <c r="C149" s="64" t="s">
        <v>141</v>
      </c>
      <c r="D149" s="64">
        <v>0</v>
      </c>
      <c r="E149" s="64">
        <v>90000</v>
      </c>
      <c r="F149" s="64">
        <f t="shared" si="22"/>
        <v>90000</v>
      </c>
      <c r="G149" s="64" t="s">
        <v>55</v>
      </c>
      <c r="H149" s="65">
        <f t="shared" si="23"/>
        <v>90000</v>
      </c>
      <c r="I149" s="65">
        <f>+H149</f>
        <v>90000</v>
      </c>
      <c r="J149" s="64"/>
      <c r="K149" s="64"/>
      <c r="L149" s="64"/>
      <c r="M149" s="65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49">
        <f t="shared" si="20"/>
        <v>90000</v>
      </c>
      <c r="AC149" s="49">
        <f t="shared" si="21"/>
        <v>0</v>
      </c>
      <c r="AD149" t="s">
        <v>743</v>
      </c>
    </row>
    <row r="150" spans="1:30" ht="15.5">
      <c r="A150" s="64" t="s">
        <v>411</v>
      </c>
      <c r="B150" s="64" t="s">
        <v>140</v>
      </c>
      <c r="C150" s="64" t="s">
        <v>141</v>
      </c>
      <c r="D150" s="64">
        <v>0</v>
      </c>
      <c r="E150" s="64">
        <v>90000</v>
      </c>
      <c r="F150" s="64">
        <f t="shared" si="22"/>
        <v>90000</v>
      </c>
      <c r="G150" s="64" t="s">
        <v>55</v>
      </c>
      <c r="H150" s="65">
        <f t="shared" si="23"/>
        <v>90000</v>
      </c>
      <c r="I150" s="65">
        <f>+H150</f>
        <v>90000</v>
      </c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49">
        <f t="shared" si="20"/>
        <v>90000</v>
      </c>
      <c r="AC150" s="49">
        <f t="shared" si="21"/>
        <v>0</v>
      </c>
      <c r="AD150" t="s">
        <v>743</v>
      </c>
    </row>
    <row r="151" spans="1:30" ht="15.5">
      <c r="A151" s="64" t="s">
        <v>411</v>
      </c>
      <c r="B151" s="64" t="s">
        <v>10</v>
      </c>
      <c r="C151" s="64" t="s">
        <v>11</v>
      </c>
      <c r="D151" s="64">
        <v>9090.91</v>
      </c>
      <c r="E151" s="64">
        <v>100000</v>
      </c>
      <c r="F151" s="64">
        <f t="shared" si="22"/>
        <v>90909.09</v>
      </c>
      <c r="G151" s="64" t="s">
        <v>8</v>
      </c>
      <c r="H151" s="65">
        <f t="shared" si="23"/>
        <v>100000</v>
      </c>
      <c r="I151" s="65">
        <f>+H151</f>
        <v>100000</v>
      </c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49">
        <f t="shared" si="20"/>
        <v>100000</v>
      </c>
      <c r="AC151" s="49">
        <f t="shared" si="21"/>
        <v>0</v>
      </c>
      <c r="AD151" t="s">
        <v>743</v>
      </c>
    </row>
    <row r="152" spans="1:30" ht="15.5">
      <c r="A152" s="64" t="s">
        <v>411</v>
      </c>
      <c r="B152" s="64" t="s">
        <v>412</v>
      </c>
      <c r="C152" s="64" t="s">
        <v>413</v>
      </c>
      <c r="D152" s="64">
        <v>202181.81818199999</v>
      </c>
      <c r="E152" s="64">
        <v>2224000</v>
      </c>
      <c r="F152" s="64">
        <f t="shared" si="22"/>
        <v>2021818.181818</v>
      </c>
      <c r="G152" s="64" t="s">
        <v>8</v>
      </c>
      <c r="H152" s="65">
        <f t="shared" si="23"/>
        <v>2224000</v>
      </c>
      <c r="I152" s="64"/>
      <c r="J152" s="64"/>
      <c r="K152" s="64"/>
      <c r="L152" s="64"/>
      <c r="M152" s="64"/>
      <c r="N152" s="64"/>
      <c r="O152" s="65">
        <f>+H152</f>
        <v>2224000</v>
      </c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49">
        <f t="shared" si="20"/>
        <v>2224000</v>
      </c>
      <c r="AC152" s="49">
        <f t="shared" si="21"/>
        <v>0</v>
      </c>
      <c r="AD152" t="s">
        <v>743</v>
      </c>
    </row>
    <row r="153" spans="1:30" ht="15.5">
      <c r="A153" s="64" t="s">
        <v>411</v>
      </c>
      <c r="B153" s="64" t="s">
        <v>64</v>
      </c>
      <c r="C153" s="64" t="s">
        <v>65</v>
      </c>
      <c r="D153" s="64">
        <v>0</v>
      </c>
      <c r="E153" s="64">
        <v>8547533.3100000005</v>
      </c>
      <c r="F153" s="64">
        <f t="shared" si="22"/>
        <v>8547533.3100000005</v>
      </c>
      <c r="G153" s="64" t="s">
        <v>55</v>
      </c>
      <c r="H153" s="65">
        <f t="shared" si="23"/>
        <v>8547533.3100000005</v>
      </c>
      <c r="I153" s="64"/>
      <c r="J153" s="65">
        <f>+H153</f>
        <v>8547533.3100000005</v>
      </c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49">
        <f t="shared" si="20"/>
        <v>8547533.3100000005</v>
      </c>
      <c r="AC153" s="49">
        <f t="shared" si="21"/>
        <v>0</v>
      </c>
      <c r="AD153" t="s">
        <v>743</v>
      </c>
    </row>
    <row r="154" spans="1:30" ht="15.5">
      <c r="A154" s="64" t="s">
        <v>1166</v>
      </c>
      <c r="B154" s="64" t="s">
        <v>1107</v>
      </c>
      <c r="C154" s="64" t="s">
        <v>1106</v>
      </c>
      <c r="D154" s="64"/>
      <c r="E154" s="64"/>
      <c r="F154" s="64"/>
      <c r="G154" s="64"/>
      <c r="H154" s="65">
        <v>200</v>
      </c>
      <c r="I154" s="64">
        <f>+H154</f>
        <v>200</v>
      </c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49">
        <f t="shared" si="20"/>
        <v>200</v>
      </c>
      <c r="AC154" s="49">
        <f t="shared" si="21"/>
        <v>0</v>
      </c>
      <c r="AD154"/>
    </row>
    <row r="155" spans="1:30" ht="15.5">
      <c r="A155" s="64" t="s">
        <v>1166</v>
      </c>
      <c r="B155" s="64" t="s">
        <v>943</v>
      </c>
      <c r="C155" s="64" t="s">
        <v>1109</v>
      </c>
      <c r="D155" s="64"/>
      <c r="E155" s="64"/>
      <c r="F155" s="64"/>
      <c r="G155" s="64"/>
      <c r="H155" s="65">
        <v>200</v>
      </c>
      <c r="I155" s="64">
        <f>+H155</f>
        <v>200</v>
      </c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49">
        <f t="shared" si="20"/>
        <v>200</v>
      </c>
      <c r="AC155" s="49">
        <f t="shared" si="21"/>
        <v>0</v>
      </c>
      <c r="AD155"/>
    </row>
    <row r="156" spans="1:30" ht="15.5">
      <c r="A156" s="64" t="s">
        <v>1166</v>
      </c>
      <c r="B156" s="64" t="s">
        <v>943</v>
      </c>
      <c r="C156" s="64" t="s">
        <v>1110</v>
      </c>
      <c r="D156" s="64"/>
      <c r="E156" s="64"/>
      <c r="F156" s="64"/>
      <c r="G156" s="64"/>
      <c r="H156" s="65">
        <v>20000</v>
      </c>
      <c r="I156" s="64"/>
      <c r="J156" s="64"/>
      <c r="K156" s="64"/>
      <c r="L156" s="64"/>
      <c r="M156" s="64"/>
      <c r="N156" s="64"/>
      <c r="O156" s="64"/>
      <c r="P156" s="64">
        <v>20000</v>
      </c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49">
        <f t="shared" si="20"/>
        <v>20000</v>
      </c>
      <c r="AC156" s="49">
        <f t="shared" si="21"/>
        <v>0</v>
      </c>
      <c r="AD156"/>
    </row>
    <row r="157" spans="1:30" ht="15.5">
      <c r="A157" s="64" t="s">
        <v>1166</v>
      </c>
      <c r="B157" s="64" t="s">
        <v>1107</v>
      </c>
      <c r="C157" s="64" t="s">
        <v>1108</v>
      </c>
      <c r="D157" s="64"/>
      <c r="E157" s="64"/>
      <c r="F157" s="64"/>
      <c r="G157" s="64"/>
      <c r="H157" s="65">
        <v>84000</v>
      </c>
      <c r="I157" s="64">
        <f>+H157</f>
        <v>84000</v>
      </c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49">
        <f t="shared" si="20"/>
        <v>84000</v>
      </c>
      <c r="AC157" s="49">
        <f t="shared" si="21"/>
        <v>0</v>
      </c>
      <c r="AD157"/>
    </row>
    <row r="158" spans="1:30" ht="15.5">
      <c r="A158" s="64" t="s">
        <v>408</v>
      </c>
      <c r="B158" s="64" t="s">
        <v>1043</v>
      </c>
      <c r="C158" s="64" t="s">
        <v>1111</v>
      </c>
      <c r="D158" s="64"/>
      <c r="E158" s="64"/>
      <c r="F158" s="64"/>
      <c r="G158" s="64"/>
      <c r="H158" s="65">
        <v>200</v>
      </c>
      <c r="I158" s="64">
        <f>+H158</f>
        <v>200</v>
      </c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49">
        <f t="shared" si="20"/>
        <v>200</v>
      </c>
      <c r="AC158" s="49">
        <f t="shared" si="21"/>
        <v>0</v>
      </c>
      <c r="AD158"/>
    </row>
    <row r="159" spans="1:30" ht="15.5">
      <c r="A159" s="64" t="s">
        <v>408</v>
      </c>
      <c r="B159" s="64" t="s">
        <v>1113</v>
      </c>
      <c r="C159" s="64" t="s">
        <v>1112</v>
      </c>
      <c r="D159" s="64"/>
      <c r="E159" s="64"/>
      <c r="F159" s="64"/>
      <c r="G159" s="64"/>
      <c r="H159" s="65">
        <v>200</v>
      </c>
      <c r="I159" s="64">
        <f>+H159</f>
        <v>200</v>
      </c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49">
        <f t="shared" si="20"/>
        <v>200</v>
      </c>
      <c r="AC159" s="49">
        <f t="shared" si="21"/>
        <v>0</v>
      </c>
      <c r="AD159"/>
    </row>
    <row r="160" spans="1:30" ht="15.5">
      <c r="A160" s="64" t="s">
        <v>408</v>
      </c>
      <c r="B160" s="64" t="s">
        <v>103</v>
      </c>
      <c r="C160" s="64" t="s">
        <v>104</v>
      </c>
      <c r="D160" s="64">
        <v>1272.73</v>
      </c>
      <c r="E160" s="64">
        <v>14000</v>
      </c>
      <c r="F160" s="64">
        <f>+E160-D160</f>
        <v>12727.27</v>
      </c>
      <c r="G160" s="64" t="s">
        <v>8</v>
      </c>
      <c r="H160" s="65">
        <f>+E160</f>
        <v>14000</v>
      </c>
      <c r="I160" s="82"/>
      <c r="J160" s="64"/>
      <c r="K160" s="64"/>
      <c r="L160" s="64"/>
      <c r="M160" s="64">
        <v>14000</v>
      </c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49">
        <f t="shared" si="20"/>
        <v>14000</v>
      </c>
      <c r="AC160" s="49">
        <f t="shared" si="21"/>
        <v>0</v>
      </c>
      <c r="AD160" t="s">
        <v>743</v>
      </c>
    </row>
    <row r="161" spans="1:30" ht="15.5">
      <c r="A161" s="64" t="s">
        <v>408</v>
      </c>
      <c r="B161" s="64" t="s">
        <v>249</v>
      </c>
      <c r="C161" s="64" t="s">
        <v>250</v>
      </c>
      <c r="D161" s="64">
        <v>1900</v>
      </c>
      <c r="E161" s="64">
        <v>20900</v>
      </c>
      <c r="F161" s="64">
        <f>+E161-D161</f>
        <v>19000</v>
      </c>
      <c r="G161" s="64" t="s">
        <v>8</v>
      </c>
      <c r="H161" s="65">
        <f>+E161</f>
        <v>20900</v>
      </c>
      <c r="I161" s="65"/>
      <c r="J161" s="64"/>
      <c r="K161" s="82"/>
      <c r="L161" s="64"/>
      <c r="M161" s="65">
        <f>+H161</f>
        <v>20900</v>
      </c>
      <c r="N161" s="64"/>
      <c r="O161" s="8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49">
        <f t="shared" si="20"/>
        <v>20900</v>
      </c>
      <c r="AC161" s="49">
        <f t="shared" si="21"/>
        <v>0</v>
      </c>
      <c r="AD161" t="s">
        <v>743</v>
      </c>
    </row>
    <row r="162" spans="1:30" ht="15.5">
      <c r="A162" s="64" t="s">
        <v>408</v>
      </c>
      <c r="B162" s="64" t="s">
        <v>249</v>
      </c>
      <c r="C162" s="64" t="s">
        <v>250</v>
      </c>
      <c r="D162" s="64">
        <v>4400</v>
      </c>
      <c r="E162" s="64">
        <v>48400</v>
      </c>
      <c r="F162" s="64">
        <f>+E162-D162</f>
        <v>44000</v>
      </c>
      <c r="G162" s="64" t="s">
        <v>8</v>
      </c>
      <c r="H162" s="65">
        <f>+E162</f>
        <v>48400</v>
      </c>
      <c r="I162" s="64"/>
      <c r="J162" s="64"/>
      <c r="K162" s="64"/>
      <c r="L162" s="64"/>
      <c r="M162" s="64"/>
      <c r="N162" s="64"/>
      <c r="O162" s="65">
        <f>+H162</f>
        <v>48400</v>
      </c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49">
        <f t="shared" si="20"/>
        <v>48400</v>
      </c>
      <c r="AC162" s="49">
        <f t="shared" si="21"/>
        <v>0</v>
      </c>
      <c r="AD162" t="s">
        <v>743</v>
      </c>
    </row>
    <row r="163" spans="1:30" ht="15.5">
      <c r="A163" s="64" t="s">
        <v>408</v>
      </c>
      <c r="B163" s="64" t="s">
        <v>409</v>
      </c>
      <c r="C163" s="64" t="s">
        <v>410</v>
      </c>
      <c r="D163" s="64">
        <v>108000</v>
      </c>
      <c r="E163" s="64">
        <v>1188000</v>
      </c>
      <c r="F163" s="64">
        <f>+E163-D163</f>
        <v>1080000</v>
      </c>
      <c r="G163" s="64" t="s">
        <v>8</v>
      </c>
      <c r="H163" s="65">
        <f>+E163</f>
        <v>1188000</v>
      </c>
      <c r="I163" s="64"/>
      <c r="J163" s="64"/>
      <c r="K163" s="64"/>
      <c r="L163" s="64"/>
      <c r="M163" s="64"/>
      <c r="N163" s="64"/>
      <c r="O163" s="65">
        <f>+H163</f>
        <v>1188000</v>
      </c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49">
        <f t="shared" si="20"/>
        <v>1188000</v>
      </c>
      <c r="AC163" s="49">
        <f t="shared" si="21"/>
        <v>0</v>
      </c>
      <c r="AD163" t="s">
        <v>743</v>
      </c>
    </row>
    <row r="164" spans="1:30" ht="15.5">
      <c r="A164" s="64" t="s">
        <v>407</v>
      </c>
      <c r="B164" s="64" t="s">
        <v>974</v>
      </c>
      <c r="C164" s="64" t="s">
        <v>1114</v>
      </c>
      <c r="D164" s="64"/>
      <c r="E164" s="64"/>
      <c r="F164" s="64"/>
      <c r="G164" s="64"/>
      <c r="H164" s="65">
        <v>200</v>
      </c>
      <c r="I164" s="64">
        <f>+H164</f>
        <v>200</v>
      </c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49">
        <f t="shared" si="20"/>
        <v>200</v>
      </c>
      <c r="AC164" s="49">
        <f t="shared" si="21"/>
        <v>0</v>
      </c>
      <c r="AD164"/>
    </row>
    <row r="165" spans="1:30" ht="15.5">
      <c r="A165" s="64" t="s">
        <v>407</v>
      </c>
      <c r="B165" s="64" t="s">
        <v>934</v>
      </c>
      <c r="C165" s="64" t="s">
        <v>1115</v>
      </c>
      <c r="D165" s="64"/>
      <c r="E165" s="64"/>
      <c r="F165" s="64"/>
      <c r="G165" s="64"/>
      <c r="H165" s="65">
        <v>200</v>
      </c>
      <c r="I165" s="61">
        <f>+H165</f>
        <v>200</v>
      </c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49">
        <f t="shared" si="20"/>
        <v>200</v>
      </c>
      <c r="AC165" s="49">
        <f t="shared" si="21"/>
        <v>0</v>
      </c>
      <c r="AD165"/>
    </row>
    <row r="166" spans="1:30" ht="15.5">
      <c r="A166" s="64" t="s">
        <v>407</v>
      </c>
      <c r="B166" s="64" t="s">
        <v>934</v>
      </c>
      <c r="C166" s="64" t="s">
        <v>1116</v>
      </c>
      <c r="D166" s="64"/>
      <c r="E166" s="64"/>
      <c r="F166" s="64"/>
      <c r="G166" s="64"/>
      <c r="H166" s="65">
        <v>60000</v>
      </c>
      <c r="I166" s="64">
        <v>60000</v>
      </c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49">
        <f t="shared" si="20"/>
        <v>60000</v>
      </c>
      <c r="AC166" s="49">
        <f t="shared" si="21"/>
        <v>0</v>
      </c>
      <c r="AD166"/>
    </row>
    <row r="167" spans="1:30" ht="15.5">
      <c r="A167" s="64" t="s">
        <v>407</v>
      </c>
      <c r="B167" s="64" t="s">
        <v>241</v>
      </c>
      <c r="C167" s="64" t="s">
        <v>242</v>
      </c>
      <c r="D167" s="64">
        <v>6000</v>
      </c>
      <c r="E167" s="64">
        <v>66000</v>
      </c>
      <c r="F167" s="64">
        <f>+E167-D167</f>
        <v>60000</v>
      </c>
      <c r="G167" s="64" t="s">
        <v>8</v>
      </c>
      <c r="H167" s="65">
        <f>+E167</f>
        <v>66000</v>
      </c>
      <c r="I167" s="65"/>
      <c r="J167" s="64"/>
      <c r="K167" s="64"/>
      <c r="L167" s="64"/>
      <c r="M167" s="65">
        <f>+H167</f>
        <v>66000</v>
      </c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49">
        <f t="shared" si="20"/>
        <v>66000</v>
      </c>
      <c r="AC167" s="49">
        <f t="shared" si="21"/>
        <v>0</v>
      </c>
      <c r="AD167" t="s">
        <v>743</v>
      </c>
    </row>
    <row r="168" spans="1:30" ht="15.5">
      <c r="A168" s="64" t="s">
        <v>407</v>
      </c>
      <c r="B168" s="64" t="s">
        <v>10</v>
      </c>
      <c r="C168" s="64" t="s">
        <v>11</v>
      </c>
      <c r="D168" s="64">
        <v>12381.09</v>
      </c>
      <c r="E168" s="64">
        <v>136192</v>
      </c>
      <c r="F168" s="64">
        <f>+E168-D168</f>
        <v>123810.91</v>
      </c>
      <c r="G168" s="64" t="s">
        <v>8</v>
      </c>
      <c r="H168" s="65">
        <f>+E168</f>
        <v>136192</v>
      </c>
      <c r="I168" s="84"/>
      <c r="J168" s="64"/>
      <c r="K168" s="64"/>
      <c r="L168" s="64"/>
      <c r="M168" s="64"/>
      <c r="N168" s="64"/>
      <c r="O168" s="64"/>
      <c r="P168" s="65">
        <f>+H168</f>
        <v>136192</v>
      </c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49">
        <f>SUM(J168:AA168)</f>
        <v>136192</v>
      </c>
      <c r="AC168" s="49">
        <f t="shared" si="21"/>
        <v>0</v>
      </c>
      <c r="AD168" t="s">
        <v>743</v>
      </c>
    </row>
    <row r="169" spans="1:30" ht="15.5">
      <c r="A169" s="64" t="s">
        <v>407</v>
      </c>
      <c r="B169" s="64" t="s">
        <v>243</v>
      </c>
      <c r="C169" s="64" t="s">
        <v>244</v>
      </c>
      <c r="D169" s="64">
        <v>18409.090908999999</v>
      </c>
      <c r="E169" s="64">
        <v>202500</v>
      </c>
      <c r="F169" s="64">
        <f>+E169-D169</f>
        <v>184090.90909100001</v>
      </c>
      <c r="G169" s="64" t="s">
        <v>8</v>
      </c>
      <c r="H169" s="65">
        <f>+E169</f>
        <v>202500</v>
      </c>
      <c r="I169" s="79"/>
      <c r="J169" s="64"/>
      <c r="K169" s="82"/>
      <c r="L169" s="64"/>
      <c r="M169" s="64"/>
      <c r="N169" s="64"/>
      <c r="O169" s="65">
        <f>+H169</f>
        <v>202500</v>
      </c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49">
        <f>SUM(I169:AA169)</f>
        <v>202500</v>
      </c>
      <c r="AC169" s="49">
        <f t="shared" si="21"/>
        <v>0</v>
      </c>
      <c r="AD169" t="s">
        <v>743</v>
      </c>
    </row>
    <row r="170" spans="1:30" ht="15.5">
      <c r="A170" s="64" t="s">
        <v>407</v>
      </c>
      <c r="B170" s="64" t="s">
        <v>405</v>
      </c>
      <c r="C170" s="64" t="s">
        <v>406</v>
      </c>
      <c r="D170" s="64">
        <v>94909.090909000006</v>
      </c>
      <c r="E170" s="64">
        <v>1044000</v>
      </c>
      <c r="F170" s="64">
        <f>+E170-D170</f>
        <v>949090.90909099998</v>
      </c>
      <c r="G170" s="64" t="s">
        <v>8</v>
      </c>
      <c r="H170" s="65">
        <f>+E170</f>
        <v>1044000</v>
      </c>
      <c r="I170" s="79"/>
      <c r="J170" s="64"/>
      <c r="K170" s="64"/>
      <c r="L170" s="64"/>
      <c r="M170" s="82"/>
      <c r="N170" s="64"/>
      <c r="O170" s="65">
        <f>+H170</f>
        <v>1044000</v>
      </c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49">
        <f>SUM(I170:AA170)</f>
        <v>1044000</v>
      </c>
      <c r="AC170" s="49">
        <f t="shared" si="21"/>
        <v>0</v>
      </c>
      <c r="AD170" t="s">
        <v>743</v>
      </c>
    </row>
    <row r="171" spans="1:30" ht="15.5">
      <c r="A171" s="64" t="s">
        <v>400</v>
      </c>
      <c r="B171" s="64" t="s">
        <v>515</v>
      </c>
      <c r="C171" s="64" t="s">
        <v>992</v>
      </c>
      <c r="D171" s="64"/>
      <c r="E171" s="64"/>
      <c r="F171" s="64"/>
      <c r="G171" s="64"/>
      <c r="H171" s="65">
        <v>100</v>
      </c>
      <c r="I171" s="64">
        <f>+H171</f>
        <v>100</v>
      </c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49">
        <f>SUM(I171:AA171)</f>
        <v>100</v>
      </c>
      <c r="AC171" s="49">
        <f t="shared" si="21"/>
        <v>0</v>
      </c>
      <c r="AD171"/>
    </row>
    <row r="172" spans="1:30" ht="15.5">
      <c r="A172" s="64" t="s">
        <v>400</v>
      </c>
      <c r="B172" s="64" t="s">
        <v>1118</v>
      </c>
      <c r="C172" s="64" t="s">
        <v>1117</v>
      </c>
      <c r="D172" s="64"/>
      <c r="E172" s="64"/>
      <c r="F172" s="64"/>
      <c r="G172" s="64"/>
      <c r="H172" s="65">
        <v>200</v>
      </c>
      <c r="I172" s="61">
        <f>+H172</f>
        <v>200</v>
      </c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49">
        <f>SUM(I172:AA172)</f>
        <v>200</v>
      </c>
      <c r="AC172" s="49">
        <f t="shared" si="21"/>
        <v>0</v>
      </c>
      <c r="AD172"/>
    </row>
    <row r="173" spans="1:30" ht="15.5">
      <c r="A173" s="64" t="s">
        <v>400</v>
      </c>
      <c r="B173" s="64" t="s">
        <v>1121</v>
      </c>
      <c r="C173" s="64" t="s">
        <v>1120</v>
      </c>
      <c r="D173" s="64"/>
      <c r="E173" s="64"/>
      <c r="F173" s="64"/>
      <c r="G173" s="64"/>
      <c r="H173" s="65">
        <v>200</v>
      </c>
      <c r="I173" s="64">
        <f>+H173</f>
        <v>200</v>
      </c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49">
        <f>SUM(I173:AA173)</f>
        <v>200</v>
      </c>
      <c r="AC173" s="49">
        <f t="shared" si="21"/>
        <v>0</v>
      </c>
      <c r="AD173"/>
    </row>
    <row r="174" spans="1:30" ht="15.5">
      <c r="A174" s="64" t="s">
        <v>400</v>
      </c>
      <c r="B174" s="64" t="s">
        <v>403</v>
      </c>
      <c r="C174" s="64" t="s">
        <v>404</v>
      </c>
      <c r="D174" s="64">
        <v>909.09090900000001</v>
      </c>
      <c r="E174" s="64">
        <v>10000</v>
      </c>
      <c r="F174" s="64">
        <f>+E174-D174</f>
        <v>9090.9090909999995</v>
      </c>
      <c r="G174" s="64" t="s">
        <v>8</v>
      </c>
      <c r="H174" s="65">
        <f>+E174</f>
        <v>10000</v>
      </c>
      <c r="I174" s="84"/>
      <c r="J174" s="64"/>
      <c r="K174" s="64"/>
      <c r="L174" s="64"/>
      <c r="M174" s="64"/>
      <c r="N174" s="64"/>
      <c r="O174" s="82">
        <f>+H174</f>
        <v>10000</v>
      </c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49">
        <f>SUM(J174:AA174)</f>
        <v>10000</v>
      </c>
      <c r="AC174" s="49">
        <f t="shared" si="21"/>
        <v>0</v>
      </c>
      <c r="AD174" t="s">
        <v>743</v>
      </c>
    </row>
    <row r="175" spans="1:30" ht="15.5">
      <c r="A175" s="64" t="s">
        <v>400</v>
      </c>
      <c r="B175" s="64" t="s">
        <v>125</v>
      </c>
      <c r="C175" s="64" t="s">
        <v>126</v>
      </c>
      <c r="D175" s="64">
        <v>0</v>
      </c>
      <c r="E175" s="64">
        <v>48000</v>
      </c>
      <c r="F175" s="64">
        <f>+E175-D175</f>
        <v>48000</v>
      </c>
      <c r="G175" s="64" t="s">
        <v>55</v>
      </c>
      <c r="H175" s="65">
        <f>+E175</f>
        <v>48000</v>
      </c>
      <c r="I175" s="64"/>
      <c r="J175" s="64"/>
      <c r="K175" s="64"/>
      <c r="L175" s="64"/>
      <c r="M175" s="65">
        <f>+H175</f>
        <v>48000</v>
      </c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49">
        <f t="shared" ref="AB175:AB206" si="24">SUM(I175:AA175)</f>
        <v>48000</v>
      </c>
      <c r="AC175" s="49">
        <f t="shared" si="21"/>
        <v>0</v>
      </c>
      <c r="AD175" t="s">
        <v>743</v>
      </c>
    </row>
    <row r="176" spans="1:30" ht="15.5">
      <c r="A176" s="64" t="s">
        <v>400</v>
      </c>
      <c r="B176" s="64" t="s">
        <v>401</v>
      </c>
      <c r="C176" s="64" t="s">
        <v>402</v>
      </c>
      <c r="D176" s="64">
        <v>9454.5499999999993</v>
      </c>
      <c r="E176" s="64">
        <v>104000</v>
      </c>
      <c r="F176" s="64">
        <f>+E176-D176</f>
        <v>94545.45</v>
      </c>
      <c r="G176" s="64" t="s">
        <v>8</v>
      </c>
      <c r="H176" s="65">
        <f>+E176</f>
        <v>104000</v>
      </c>
      <c r="I176" s="64"/>
      <c r="J176" s="64"/>
      <c r="K176" s="64"/>
      <c r="L176" s="64"/>
      <c r="M176" s="64"/>
      <c r="N176" s="64"/>
      <c r="O176" s="65">
        <f>+H176</f>
        <v>104000</v>
      </c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49">
        <f t="shared" si="24"/>
        <v>104000</v>
      </c>
      <c r="AC176" s="49">
        <f t="shared" si="21"/>
        <v>0</v>
      </c>
      <c r="AD176" t="s">
        <v>743</v>
      </c>
    </row>
    <row r="177" spans="1:30" ht="15.5">
      <c r="A177" s="64" t="s">
        <v>400</v>
      </c>
      <c r="B177" s="64" t="s">
        <v>78</v>
      </c>
      <c r="C177" s="64" t="s">
        <v>79</v>
      </c>
      <c r="D177" s="64">
        <v>13377.27</v>
      </c>
      <c r="E177" s="64">
        <v>147150</v>
      </c>
      <c r="F177" s="64">
        <f>+E177-D177</f>
        <v>133772.73000000001</v>
      </c>
      <c r="G177" s="64" t="s">
        <v>8</v>
      </c>
      <c r="H177" s="65">
        <f>+E177</f>
        <v>147150</v>
      </c>
      <c r="I177" s="64"/>
      <c r="J177" s="65"/>
      <c r="K177" s="82">
        <f>+H177</f>
        <v>147150</v>
      </c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49">
        <f t="shared" si="24"/>
        <v>147150</v>
      </c>
      <c r="AC177" s="49">
        <f t="shared" si="21"/>
        <v>0</v>
      </c>
      <c r="AD177" t="s">
        <v>743</v>
      </c>
    </row>
    <row r="178" spans="1:30" ht="15.5">
      <c r="A178" s="64" t="s">
        <v>400</v>
      </c>
      <c r="B178" s="64" t="s">
        <v>10</v>
      </c>
      <c r="C178" s="64" t="s">
        <v>11</v>
      </c>
      <c r="D178" s="64">
        <v>14179.09</v>
      </c>
      <c r="E178" s="64">
        <v>155970</v>
      </c>
      <c r="F178" s="64">
        <f>+E178-D178</f>
        <v>141790.91</v>
      </c>
      <c r="G178" s="64" t="s">
        <v>8</v>
      </c>
      <c r="H178" s="65">
        <f>+E178</f>
        <v>155970</v>
      </c>
      <c r="I178" s="65">
        <f>+H178</f>
        <v>155970</v>
      </c>
      <c r="J178" s="64"/>
      <c r="K178" s="82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49">
        <f t="shared" si="24"/>
        <v>155970</v>
      </c>
      <c r="AC178" s="49">
        <f t="shared" si="21"/>
        <v>0</v>
      </c>
      <c r="AD178" t="s">
        <v>743</v>
      </c>
    </row>
    <row r="179" spans="1:30" ht="15.5">
      <c r="A179" s="64" t="s">
        <v>400</v>
      </c>
      <c r="B179" s="64" t="s">
        <v>1118</v>
      </c>
      <c r="C179" s="64" t="s">
        <v>1119</v>
      </c>
      <c r="D179" s="64"/>
      <c r="E179" s="64"/>
      <c r="F179" s="64"/>
      <c r="G179" s="64"/>
      <c r="H179" s="65">
        <v>180000</v>
      </c>
      <c r="I179" s="64"/>
      <c r="J179" s="64"/>
      <c r="K179" s="64"/>
      <c r="L179" s="64"/>
      <c r="M179" s="64"/>
      <c r="N179" s="64"/>
      <c r="O179" s="64">
        <v>180000</v>
      </c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49">
        <f t="shared" si="24"/>
        <v>180000</v>
      </c>
      <c r="AC179" s="49">
        <f t="shared" si="21"/>
        <v>0</v>
      </c>
      <c r="AD179"/>
    </row>
    <row r="180" spans="1:30" ht="15.5">
      <c r="A180" s="64" t="s">
        <v>400</v>
      </c>
      <c r="B180" s="64" t="s">
        <v>405</v>
      </c>
      <c r="C180" s="64" t="s">
        <v>406</v>
      </c>
      <c r="D180" s="64">
        <v>39109.090908999999</v>
      </c>
      <c r="E180" s="64">
        <v>430200</v>
      </c>
      <c r="F180" s="64">
        <f>+E180-D180</f>
        <v>391090.90909099998</v>
      </c>
      <c r="G180" s="64" t="s">
        <v>8</v>
      </c>
      <c r="H180" s="65">
        <f>+E180</f>
        <v>430200</v>
      </c>
      <c r="I180" s="82"/>
      <c r="J180" s="64"/>
      <c r="K180" s="64"/>
      <c r="L180" s="64"/>
      <c r="M180" s="64"/>
      <c r="N180" s="64"/>
      <c r="O180" s="65">
        <f>+H180</f>
        <v>430200</v>
      </c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49">
        <f t="shared" si="24"/>
        <v>430200</v>
      </c>
      <c r="AC180" s="49">
        <f t="shared" si="21"/>
        <v>0</v>
      </c>
      <c r="AD180" t="s">
        <v>743</v>
      </c>
    </row>
    <row r="181" spans="1:30" ht="15.5">
      <c r="A181" s="64" t="s">
        <v>397</v>
      </c>
      <c r="B181" s="64" t="s">
        <v>103</v>
      </c>
      <c r="C181" s="64" t="s">
        <v>104</v>
      </c>
      <c r="D181" s="64">
        <v>1467.27</v>
      </c>
      <c r="E181" s="64">
        <v>16140</v>
      </c>
      <c r="F181" s="64">
        <f>+E181-D181</f>
        <v>14672.73</v>
      </c>
      <c r="G181" s="64" t="s">
        <v>8</v>
      </c>
      <c r="H181" s="65">
        <f>+E181</f>
        <v>16140</v>
      </c>
      <c r="I181" s="65"/>
      <c r="J181" s="65"/>
      <c r="K181" s="65"/>
      <c r="L181" s="64"/>
      <c r="M181" s="65">
        <f>+H181</f>
        <v>16140</v>
      </c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49">
        <f t="shared" si="24"/>
        <v>16140</v>
      </c>
      <c r="AC181" s="49">
        <f t="shared" si="21"/>
        <v>0</v>
      </c>
      <c r="AD181" t="s">
        <v>743</v>
      </c>
    </row>
    <row r="182" spans="1:30" ht="15.5">
      <c r="A182" s="64" t="s">
        <v>397</v>
      </c>
      <c r="B182" s="64" t="s">
        <v>398</v>
      </c>
      <c r="C182" s="64" t="s">
        <v>399</v>
      </c>
      <c r="D182" s="64">
        <v>24607.14</v>
      </c>
      <c r="E182" s="64">
        <v>275600</v>
      </c>
      <c r="F182" s="64">
        <f>+E182-D182</f>
        <v>250992.86</v>
      </c>
      <c r="G182" s="64" t="s">
        <v>8</v>
      </c>
      <c r="H182" s="65">
        <f>+E182</f>
        <v>275600</v>
      </c>
      <c r="I182" s="65"/>
      <c r="J182" s="64"/>
      <c r="K182" s="64"/>
      <c r="L182" s="64"/>
      <c r="M182" s="82"/>
      <c r="N182" s="64"/>
      <c r="O182" s="65">
        <f>+H182</f>
        <v>275600</v>
      </c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49">
        <f t="shared" si="24"/>
        <v>275600</v>
      </c>
      <c r="AC182" s="49">
        <f t="shared" si="21"/>
        <v>0</v>
      </c>
      <c r="AD182" t="s">
        <v>743</v>
      </c>
    </row>
    <row r="183" spans="1:30" ht="15.5">
      <c r="A183" s="64" t="s">
        <v>388</v>
      </c>
      <c r="B183" s="64" t="s">
        <v>947</v>
      </c>
      <c r="C183" s="64" t="s">
        <v>1122</v>
      </c>
      <c r="D183" s="64"/>
      <c r="E183" s="64"/>
      <c r="F183" s="64"/>
      <c r="G183" s="64"/>
      <c r="H183" s="65">
        <v>200</v>
      </c>
      <c r="I183" s="64">
        <f t="shared" ref="I183:I188" si="25">+H183</f>
        <v>200</v>
      </c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49">
        <f t="shared" si="24"/>
        <v>200</v>
      </c>
      <c r="AC183" s="49">
        <f t="shared" si="21"/>
        <v>0</v>
      </c>
      <c r="AD183"/>
    </row>
    <row r="184" spans="1:30" ht="15.5">
      <c r="A184" s="64" t="s">
        <v>388</v>
      </c>
      <c r="B184" s="64" t="s">
        <v>937</v>
      </c>
      <c r="C184" s="64" t="s">
        <v>1124</v>
      </c>
      <c r="D184" s="64"/>
      <c r="E184" s="64"/>
      <c r="F184" s="64"/>
      <c r="G184" s="64"/>
      <c r="H184" s="65">
        <v>200</v>
      </c>
      <c r="I184" s="64">
        <f t="shared" si="25"/>
        <v>200</v>
      </c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49">
        <f t="shared" si="24"/>
        <v>200</v>
      </c>
      <c r="AC184" s="49">
        <f t="shared" si="21"/>
        <v>0</v>
      </c>
      <c r="AD184"/>
    </row>
    <row r="185" spans="1:30" ht="15.5">
      <c r="A185" s="64" t="s">
        <v>388</v>
      </c>
      <c r="B185" s="64" t="s">
        <v>1126</v>
      </c>
      <c r="C185" s="64" t="s">
        <v>1125</v>
      </c>
      <c r="D185" s="64"/>
      <c r="E185" s="64"/>
      <c r="F185" s="64"/>
      <c r="G185" s="64"/>
      <c r="H185" s="65">
        <v>200</v>
      </c>
      <c r="I185" s="64">
        <f t="shared" si="25"/>
        <v>200</v>
      </c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49">
        <f t="shared" si="24"/>
        <v>200</v>
      </c>
      <c r="AC185" s="49">
        <f t="shared" si="21"/>
        <v>0</v>
      </c>
      <c r="AD185"/>
    </row>
    <row r="186" spans="1:30" ht="15.5">
      <c r="A186" s="64" t="s">
        <v>388</v>
      </c>
      <c r="B186" s="64" t="s">
        <v>1128</v>
      </c>
      <c r="C186" s="64" t="s">
        <v>1127</v>
      </c>
      <c r="D186" s="64"/>
      <c r="E186" s="64"/>
      <c r="F186" s="64"/>
      <c r="G186" s="64"/>
      <c r="H186" s="65">
        <v>200</v>
      </c>
      <c r="I186" s="64">
        <f t="shared" si="25"/>
        <v>200</v>
      </c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49">
        <f t="shared" si="24"/>
        <v>200</v>
      </c>
      <c r="AC186" s="49">
        <f t="shared" si="21"/>
        <v>0</v>
      </c>
      <c r="AD186"/>
    </row>
    <row r="187" spans="1:30" ht="15.5">
      <c r="A187" s="64" t="s">
        <v>388</v>
      </c>
      <c r="B187" s="64" t="s">
        <v>1130</v>
      </c>
      <c r="C187" s="64" t="s">
        <v>1129</v>
      </c>
      <c r="D187" s="64"/>
      <c r="E187" s="64"/>
      <c r="F187" s="64"/>
      <c r="G187" s="64"/>
      <c r="H187" s="65">
        <v>200</v>
      </c>
      <c r="I187" s="64">
        <f t="shared" si="25"/>
        <v>200</v>
      </c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49">
        <f t="shared" si="24"/>
        <v>200</v>
      </c>
      <c r="AC187" s="49">
        <f t="shared" si="21"/>
        <v>0</v>
      </c>
      <c r="AD187"/>
    </row>
    <row r="188" spans="1:30" ht="15.5">
      <c r="A188" s="64" t="s">
        <v>388</v>
      </c>
      <c r="B188" s="64" t="s">
        <v>103</v>
      </c>
      <c r="C188" s="64" t="s">
        <v>104</v>
      </c>
      <c r="D188" s="64">
        <v>763.64</v>
      </c>
      <c r="E188" s="64">
        <v>8400</v>
      </c>
      <c r="F188" s="64">
        <f t="shared" ref="F188:F195" si="26">+E188-D188</f>
        <v>7636.36</v>
      </c>
      <c r="G188" s="64" t="s">
        <v>8</v>
      </c>
      <c r="H188" s="65">
        <f t="shared" ref="H188:H195" si="27">+E188</f>
        <v>8400</v>
      </c>
      <c r="I188" s="65">
        <f t="shared" si="25"/>
        <v>8400</v>
      </c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49">
        <f t="shared" si="24"/>
        <v>8400</v>
      </c>
      <c r="AC188" s="49">
        <f t="shared" si="21"/>
        <v>0</v>
      </c>
      <c r="AD188" t="s">
        <v>743</v>
      </c>
    </row>
    <row r="189" spans="1:30" ht="15.5">
      <c r="A189" s="64" t="s">
        <v>388</v>
      </c>
      <c r="B189" s="64" t="s">
        <v>393</v>
      </c>
      <c r="C189" s="64" t="s">
        <v>394</v>
      </c>
      <c r="D189" s="64">
        <v>0</v>
      </c>
      <c r="E189" s="64">
        <v>23100</v>
      </c>
      <c r="F189" s="64">
        <f t="shared" si="26"/>
        <v>23100</v>
      </c>
      <c r="G189" s="64" t="s">
        <v>8</v>
      </c>
      <c r="H189" s="65">
        <f t="shared" si="27"/>
        <v>23100</v>
      </c>
      <c r="I189" s="64"/>
      <c r="J189" s="64"/>
      <c r="K189" s="64"/>
      <c r="L189" s="64"/>
      <c r="M189" s="65">
        <f>+H189</f>
        <v>23100</v>
      </c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49">
        <f t="shared" si="24"/>
        <v>23100</v>
      </c>
      <c r="AC189" s="49">
        <f t="shared" si="21"/>
        <v>0</v>
      </c>
      <c r="AD189" t="s">
        <v>743</v>
      </c>
    </row>
    <row r="190" spans="1:30" ht="15.5">
      <c r="A190" s="64" t="s">
        <v>388</v>
      </c>
      <c r="B190" s="64" t="s">
        <v>175</v>
      </c>
      <c r="C190" s="64" t="s">
        <v>176</v>
      </c>
      <c r="D190" s="64">
        <v>2509.09</v>
      </c>
      <c r="E190" s="64">
        <v>27600</v>
      </c>
      <c r="F190" s="64">
        <f t="shared" si="26"/>
        <v>25090.91</v>
      </c>
      <c r="G190" s="64" t="s">
        <v>8</v>
      </c>
      <c r="H190" s="65">
        <f t="shared" si="27"/>
        <v>27600</v>
      </c>
      <c r="I190" s="82">
        <f>+H190</f>
        <v>27600</v>
      </c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49">
        <f t="shared" si="24"/>
        <v>27600</v>
      </c>
      <c r="AC190" s="49">
        <f t="shared" si="21"/>
        <v>0</v>
      </c>
      <c r="AD190" t="s">
        <v>743</v>
      </c>
    </row>
    <row r="191" spans="1:30" ht="15.5">
      <c r="A191" s="64" t="s">
        <v>388</v>
      </c>
      <c r="B191" s="64" t="s">
        <v>314</v>
      </c>
      <c r="C191" s="64" t="s">
        <v>315</v>
      </c>
      <c r="D191" s="64">
        <v>2890.909091</v>
      </c>
      <c r="E191" s="64">
        <v>31800</v>
      </c>
      <c r="F191" s="64">
        <f t="shared" si="26"/>
        <v>28909.090908999999</v>
      </c>
      <c r="G191" s="64" t="s">
        <v>8</v>
      </c>
      <c r="H191" s="65">
        <f t="shared" si="27"/>
        <v>31800</v>
      </c>
      <c r="I191" s="65"/>
      <c r="J191" s="64"/>
      <c r="K191" s="64">
        <v>31800</v>
      </c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49">
        <f t="shared" si="24"/>
        <v>31800</v>
      </c>
      <c r="AC191" s="49">
        <f t="shared" si="21"/>
        <v>0</v>
      </c>
      <c r="AD191" t="s">
        <v>743</v>
      </c>
    </row>
    <row r="192" spans="1:30" ht="15.5">
      <c r="A192" s="64" t="s">
        <v>388</v>
      </c>
      <c r="B192" s="64" t="s">
        <v>82</v>
      </c>
      <c r="C192" s="64" t="s">
        <v>83</v>
      </c>
      <c r="D192" s="64">
        <v>0</v>
      </c>
      <c r="E192" s="64">
        <v>33100</v>
      </c>
      <c r="F192" s="64">
        <f t="shared" si="26"/>
        <v>33100</v>
      </c>
      <c r="G192" s="64" t="s">
        <v>8</v>
      </c>
      <c r="H192" s="65">
        <f t="shared" si="27"/>
        <v>33100</v>
      </c>
      <c r="I192" s="65"/>
      <c r="J192" s="64"/>
      <c r="K192" s="64"/>
      <c r="L192" s="64"/>
      <c r="M192" s="64">
        <v>33100</v>
      </c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49">
        <f t="shared" si="24"/>
        <v>33100</v>
      </c>
      <c r="AC192" s="49">
        <f t="shared" si="21"/>
        <v>0</v>
      </c>
      <c r="AD192" t="s">
        <v>743</v>
      </c>
    </row>
    <row r="193" spans="1:30" ht="15.5">
      <c r="A193" s="64" t="s">
        <v>388</v>
      </c>
      <c r="B193" s="64" t="s">
        <v>389</v>
      </c>
      <c r="C193" s="64" t="s">
        <v>390</v>
      </c>
      <c r="D193" s="64">
        <v>7363.64</v>
      </c>
      <c r="E193" s="64">
        <v>81000</v>
      </c>
      <c r="F193" s="64">
        <f t="shared" si="26"/>
        <v>73636.36</v>
      </c>
      <c r="G193" s="64" t="s">
        <v>8</v>
      </c>
      <c r="H193" s="65">
        <f t="shared" si="27"/>
        <v>81000</v>
      </c>
      <c r="I193" s="82"/>
      <c r="J193" s="64"/>
      <c r="K193" s="65">
        <f>+H193</f>
        <v>81000</v>
      </c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49">
        <f t="shared" si="24"/>
        <v>81000</v>
      </c>
      <c r="AC193" s="49">
        <f t="shared" si="21"/>
        <v>0</v>
      </c>
      <c r="AD193" t="s">
        <v>743</v>
      </c>
    </row>
    <row r="194" spans="1:30" ht="15.5">
      <c r="A194" s="64" t="s">
        <v>388</v>
      </c>
      <c r="B194" s="64" t="s">
        <v>103</v>
      </c>
      <c r="C194" s="64" t="s">
        <v>104</v>
      </c>
      <c r="D194" s="64">
        <v>7931.82</v>
      </c>
      <c r="E194" s="64">
        <v>87250</v>
      </c>
      <c r="F194" s="64">
        <f t="shared" si="26"/>
        <v>79318.179999999993</v>
      </c>
      <c r="G194" s="64" t="s">
        <v>8</v>
      </c>
      <c r="H194" s="65">
        <f t="shared" si="27"/>
        <v>87250</v>
      </c>
      <c r="I194" s="65">
        <f>+H194</f>
        <v>87250</v>
      </c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49">
        <f t="shared" si="24"/>
        <v>87250</v>
      </c>
      <c r="AC194" s="49">
        <f t="shared" si="21"/>
        <v>0</v>
      </c>
      <c r="AD194" t="s">
        <v>743</v>
      </c>
    </row>
    <row r="195" spans="1:30" ht="15.5">
      <c r="A195" s="64" t="s">
        <v>388</v>
      </c>
      <c r="B195" s="64" t="s">
        <v>196</v>
      </c>
      <c r="C195" s="64" t="s">
        <v>197</v>
      </c>
      <c r="D195" s="64">
        <v>0</v>
      </c>
      <c r="E195" s="64">
        <v>495300</v>
      </c>
      <c r="F195" s="64">
        <f t="shared" si="26"/>
        <v>495300</v>
      </c>
      <c r="G195" s="64" t="s">
        <v>8</v>
      </c>
      <c r="H195" s="65">
        <f t="shared" si="27"/>
        <v>495300</v>
      </c>
      <c r="I195" s="64"/>
      <c r="J195" s="64"/>
      <c r="K195" s="64"/>
      <c r="L195" s="64"/>
      <c r="M195" s="65">
        <f>+H195</f>
        <v>495300</v>
      </c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49">
        <f t="shared" si="24"/>
        <v>495300</v>
      </c>
      <c r="AC195" s="49">
        <f t="shared" si="21"/>
        <v>0</v>
      </c>
      <c r="AD195" t="s">
        <v>743</v>
      </c>
    </row>
    <row r="196" spans="1:30" ht="15.5">
      <c r="A196" s="64" t="s">
        <v>388</v>
      </c>
      <c r="B196" s="64" t="s">
        <v>947</v>
      </c>
      <c r="C196" s="64" t="s">
        <v>1123</v>
      </c>
      <c r="D196" s="64"/>
      <c r="E196" s="64"/>
      <c r="F196" s="64"/>
      <c r="G196" s="64"/>
      <c r="H196" s="65">
        <v>495300</v>
      </c>
      <c r="I196" s="64"/>
      <c r="J196" s="64"/>
      <c r="K196" s="64">
        <v>495300</v>
      </c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49">
        <f t="shared" si="24"/>
        <v>495300</v>
      </c>
      <c r="AC196" s="49">
        <f t="shared" si="21"/>
        <v>0</v>
      </c>
      <c r="AD196"/>
    </row>
    <row r="197" spans="1:30" ht="15.5">
      <c r="A197" s="64" t="s">
        <v>388</v>
      </c>
      <c r="B197" s="64" t="s">
        <v>391</v>
      </c>
      <c r="C197" s="64" t="s">
        <v>392</v>
      </c>
      <c r="D197" s="64">
        <v>0</v>
      </c>
      <c r="E197" s="64">
        <v>497000</v>
      </c>
      <c r="F197" s="64">
        <f>+E197-D197</f>
        <v>497000</v>
      </c>
      <c r="G197" s="64" t="s">
        <v>8</v>
      </c>
      <c r="H197" s="65">
        <f>+E197</f>
        <v>497000</v>
      </c>
      <c r="I197" s="64"/>
      <c r="J197" s="64"/>
      <c r="K197" s="65">
        <f>+H197</f>
        <v>497000</v>
      </c>
      <c r="L197" s="64"/>
      <c r="M197" s="64"/>
      <c r="N197" s="82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49">
        <f t="shared" si="24"/>
        <v>497000</v>
      </c>
      <c r="AC197" s="49">
        <f t="shared" si="21"/>
        <v>0</v>
      </c>
      <c r="AD197" t="s">
        <v>743</v>
      </c>
    </row>
    <row r="198" spans="1:30" ht="15.5">
      <c r="A198" s="64" t="s">
        <v>388</v>
      </c>
      <c r="B198" s="64" t="s">
        <v>395</v>
      </c>
      <c r="C198" s="64" t="s">
        <v>396</v>
      </c>
      <c r="D198" s="64">
        <v>0</v>
      </c>
      <c r="E198" s="64">
        <v>2508000</v>
      </c>
      <c r="F198" s="64">
        <f>+E198-D198</f>
        <v>2508000</v>
      </c>
      <c r="G198" s="64" t="s">
        <v>8</v>
      </c>
      <c r="H198" s="65">
        <f>+E198</f>
        <v>2508000</v>
      </c>
      <c r="I198" s="64"/>
      <c r="J198" s="82"/>
      <c r="K198" s="64"/>
      <c r="L198" s="64"/>
      <c r="M198" s="64"/>
      <c r="N198" s="64"/>
      <c r="O198" s="65">
        <f>+H198</f>
        <v>2508000</v>
      </c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49">
        <f t="shared" si="24"/>
        <v>2508000</v>
      </c>
      <c r="AC198" s="49">
        <f t="shared" ref="AC198:AC259" si="28">+AB198-H198</f>
        <v>0</v>
      </c>
      <c r="AD198" t="s">
        <v>743</v>
      </c>
    </row>
    <row r="199" spans="1:30" ht="15.5">
      <c r="A199" s="64" t="s">
        <v>387</v>
      </c>
      <c r="B199" s="64" t="s">
        <v>125</v>
      </c>
      <c r="C199" s="64" t="s">
        <v>126</v>
      </c>
      <c r="D199" s="64">
        <v>0</v>
      </c>
      <c r="E199" s="64">
        <v>50000</v>
      </c>
      <c r="F199" s="64">
        <f>+E199-D199</f>
        <v>50000</v>
      </c>
      <c r="G199" s="64" t="s">
        <v>55</v>
      </c>
      <c r="H199" s="65">
        <f>+E199</f>
        <v>50000</v>
      </c>
      <c r="I199" s="82"/>
      <c r="J199" s="64"/>
      <c r="K199" s="64"/>
      <c r="L199" s="64"/>
      <c r="M199" s="65">
        <f>+H199</f>
        <v>50000</v>
      </c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49">
        <f t="shared" si="24"/>
        <v>50000</v>
      </c>
      <c r="AC199" s="49">
        <f t="shared" si="28"/>
        <v>0</v>
      </c>
      <c r="AD199" t="s">
        <v>743</v>
      </c>
    </row>
    <row r="200" spans="1:30" ht="15.5">
      <c r="A200" s="64" t="s">
        <v>386</v>
      </c>
      <c r="B200" s="64" t="s">
        <v>376</v>
      </c>
      <c r="C200" s="64" t="s">
        <v>377</v>
      </c>
      <c r="D200" s="64">
        <v>5427.27</v>
      </c>
      <c r="E200" s="64">
        <v>59700</v>
      </c>
      <c r="F200" s="64">
        <f>+E200-D200</f>
        <v>54272.729999999996</v>
      </c>
      <c r="G200" s="64" t="s">
        <v>8</v>
      </c>
      <c r="H200" s="65">
        <f>+E200</f>
        <v>59700</v>
      </c>
      <c r="I200" s="64"/>
      <c r="J200" s="64"/>
      <c r="K200" s="65">
        <f>+H200</f>
        <v>59700</v>
      </c>
      <c r="L200" s="64"/>
      <c r="M200" s="65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49">
        <f t="shared" si="24"/>
        <v>59700</v>
      </c>
      <c r="AC200" s="49">
        <f t="shared" si="28"/>
        <v>0</v>
      </c>
      <c r="AD200" t="s">
        <v>743</v>
      </c>
    </row>
    <row r="201" spans="1:30" ht="15.5">
      <c r="A201" s="64" t="s">
        <v>381</v>
      </c>
      <c r="B201" s="64" t="s">
        <v>515</v>
      </c>
      <c r="C201" s="64" t="s">
        <v>992</v>
      </c>
      <c r="D201" s="64"/>
      <c r="E201" s="64"/>
      <c r="F201" s="64"/>
      <c r="G201" s="64"/>
      <c r="H201" s="65">
        <v>100</v>
      </c>
      <c r="I201" s="64">
        <f>+H201</f>
        <v>100</v>
      </c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49">
        <f t="shared" si="24"/>
        <v>100</v>
      </c>
      <c r="AC201" s="49">
        <f t="shared" si="28"/>
        <v>0</v>
      </c>
      <c r="AD201"/>
    </row>
    <row r="202" spans="1:30" ht="15.5">
      <c r="A202" s="64" t="s">
        <v>381</v>
      </c>
      <c r="B202" s="64" t="s">
        <v>515</v>
      </c>
      <c r="C202" s="64" t="s">
        <v>992</v>
      </c>
      <c r="D202" s="64"/>
      <c r="E202" s="64"/>
      <c r="F202" s="64"/>
      <c r="G202" s="64"/>
      <c r="H202" s="65">
        <v>100</v>
      </c>
      <c r="I202" s="64">
        <f>+H202</f>
        <v>100</v>
      </c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49">
        <f t="shared" si="24"/>
        <v>100</v>
      </c>
      <c r="AC202" s="49">
        <f t="shared" si="28"/>
        <v>0</v>
      </c>
      <c r="AD202"/>
    </row>
    <row r="203" spans="1:30" ht="15.5">
      <c r="A203" s="64" t="s">
        <v>381</v>
      </c>
      <c r="B203" s="64" t="s">
        <v>1099</v>
      </c>
      <c r="C203" s="64" t="s">
        <v>1132</v>
      </c>
      <c r="D203" s="64"/>
      <c r="E203" s="64"/>
      <c r="F203" s="64"/>
      <c r="G203" s="64"/>
      <c r="H203" s="65">
        <v>200</v>
      </c>
      <c r="I203" s="64">
        <f>+H203</f>
        <v>200</v>
      </c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49">
        <f t="shared" si="24"/>
        <v>200</v>
      </c>
      <c r="AC203" s="49">
        <f t="shared" si="28"/>
        <v>0</v>
      </c>
      <c r="AD203"/>
    </row>
    <row r="204" spans="1:30" ht="15.5">
      <c r="A204" s="64" t="s">
        <v>381</v>
      </c>
      <c r="B204" s="64" t="s">
        <v>1135</v>
      </c>
      <c r="C204" s="64" t="s">
        <v>1134</v>
      </c>
      <c r="D204" s="64"/>
      <c r="E204" s="64"/>
      <c r="F204" s="64"/>
      <c r="G204" s="64"/>
      <c r="H204" s="65">
        <v>200</v>
      </c>
      <c r="I204" s="64">
        <f>+H204</f>
        <v>200</v>
      </c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49">
        <f t="shared" si="24"/>
        <v>200</v>
      </c>
      <c r="AC204" s="49">
        <f t="shared" si="28"/>
        <v>0</v>
      </c>
      <c r="AD204"/>
    </row>
    <row r="205" spans="1:30" ht="15.5">
      <c r="A205" s="64" t="s">
        <v>381</v>
      </c>
      <c r="B205" s="64" t="s">
        <v>140</v>
      </c>
      <c r="C205" s="64" t="s">
        <v>141</v>
      </c>
      <c r="D205" s="64">
        <v>0</v>
      </c>
      <c r="E205" s="64">
        <v>16000</v>
      </c>
      <c r="F205" s="64">
        <f>+E205-D205</f>
        <v>16000</v>
      </c>
      <c r="G205" s="64" t="s">
        <v>55</v>
      </c>
      <c r="H205" s="65">
        <f>+E205</f>
        <v>16000</v>
      </c>
      <c r="I205" s="64"/>
      <c r="J205" s="64"/>
      <c r="K205" s="64"/>
      <c r="L205" s="64"/>
      <c r="M205" s="65">
        <f>+H205</f>
        <v>16000</v>
      </c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49">
        <f t="shared" si="24"/>
        <v>16000</v>
      </c>
      <c r="AC205" s="49">
        <f t="shared" si="28"/>
        <v>0</v>
      </c>
      <c r="AD205" t="s">
        <v>743</v>
      </c>
    </row>
    <row r="206" spans="1:30" ht="15.5">
      <c r="A206" s="64" t="s">
        <v>381</v>
      </c>
      <c r="B206" s="64" t="s">
        <v>922</v>
      </c>
      <c r="C206" s="64" t="s">
        <v>1131</v>
      </c>
      <c r="D206" s="64"/>
      <c r="E206" s="64"/>
      <c r="F206" s="64"/>
      <c r="G206" s="64"/>
      <c r="H206" s="65">
        <v>62400</v>
      </c>
      <c r="I206" s="64">
        <f>+H206</f>
        <v>62400</v>
      </c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49">
        <f t="shared" si="24"/>
        <v>62400</v>
      </c>
      <c r="AC206" s="49">
        <f t="shared" si="28"/>
        <v>0</v>
      </c>
      <c r="AD206"/>
    </row>
    <row r="207" spans="1:30" ht="15.5">
      <c r="A207" s="64" t="s">
        <v>381</v>
      </c>
      <c r="B207" s="64" t="s">
        <v>220</v>
      </c>
      <c r="C207" s="64" t="s">
        <v>221</v>
      </c>
      <c r="D207" s="64">
        <v>11636.36</v>
      </c>
      <c r="E207" s="64">
        <v>128000</v>
      </c>
      <c r="F207" s="64">
        <f>+E207-D207</f>
        <v>116363.64</v>
      </c>
      <c r="G207" s="64" t="s">
        <v>8</v>
      </c>
      <c r="H207" s="65">
        <f>+E207</f>
        <v>128000</v>
      </c>
      <c r="I207" s="84"/>
      <c r="J207" s="64"/>
      <c r="K207" s="64"/>
      <c r="L207" s="64"/>
      <c r="M207" s="64"/>
      <c r="N207" s="64"/>
      <c r="O207" s="64"/>
      <c r="P207" s="65">
        <f>+H207</f>
        <v>128000</v>
      </c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49">
        <f t="shared" ref="AB207:AB233" si="29">SUM(I207:AA207)</f>
        <v>128000</v>
      </c>
      <c r="AC207" s="49">
        <f t="shared" si="28"/>
        <v>0</v>
      </c>
      <c r="AD207" t="s">
        <v>743</v>
      </c>
    </row>
    <row r="208" spans="1:30" ht="15.5">
      <c r="A208" s="64" t="s">
        <v>381</v>
      </c>
      <c r="B208" s="64" t="s">
        <v>1099</v>
      </c>
      <c r="C208" s="64" t="s">
        <v>1133</v>
      </c>
      <c r="D208" s="64"/>
      <c r="E208" s="64"/>
      <c r="F208" s="64"/>
      <c r="G208" s="64"/>
      <c r="H208" s="65">
        <v>248100</v>
      </c>
      <c r="I208" s="64">
        <v>28600</v>
      </c>
      <c r="J208" s="64"/>
      <c r="K208" s="64"/>
      <c r="L208" s="64"/>
      <c r="M208" s="64">
        <v>69500</v>
      </c>
      <c r="N208" s="64"/>
      <c r="O208" s="64"/>
      <c r="P208" s="64">
        <v>150000</v>
      </c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49">
        <f t="shared" si="29"/>
        <v>248100</v>
      </c>
      <c r="AC208" s="49">
        <f t="shared" si="28"/>
        <v>0</v>
      </c>
      <c r="AD208"/>
    </row>
    <row r="209" spans="1:30" ht="15.5">
      <c r="A209" s="64" t="s">
        <v>381</v>
      </c>
      <c r="B209" s="64" t="s">
        <v>384</v>
      </c>
      <c r="C209" s="64" t="s">
        <v>385</v>
      </c>
      <c r="D209" s="64">
        <v>29881.82</v>
      </c>
      <c r="E209" s="64">
        <v>328700</v>
      </c>
      <c r="F209" s="64">
        <f>+E209-D209</f>
        <v>298818.18</v>
      </c>
      <c r="G209" s="64" t="s">
        <v>8</v>
      </c>
      <c r="H209" s="65">
        <f>+E209</f>
        <v>328700</v>
      </c>
      <c r="I209" s="64"/>
      <c r="J209" s="64"/>
      <c r="K209" s="65">
        <f>+H209</f>
        <v>328700</v>
      </c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49">
        <f t="shared" si="29"/>
        <v>328700</v>
      </c>
      <c r="AC209" s="49">
        <f t="shared" si="28"/>
        <v>0</v>
      </c>
      <c r="AD209" t="s">
        <v>743</v>
      </c>
    </row>
    <row r="210" spans="1:30" ht="15.5">
      <c r="A210" s="64" t="s">
        <v>381</v>
      </c>
      <c r="B210" s="64" t="s">
        <v>991</v>
      </c>
      <c r="C210" s="64" t="s">
        <v>990</v>
      </c>
      <c r="D210" s="64"/>
      <c r="E210" s="64"/>
      <c r="F210" s="64"/>
      <c r="G210" s="64"/>
      <c r="H210" s="65">
        <v>1913819</v>
      </c>
      <c r="I210" s="64"/>
      <c r="J210" s="64">
        <v>1913819</v>
      </c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49">
        <f t="shared" si="29"/>
        <v>1913819</v>
      </c>
      <c r="AC210" s="49">
        <f t="shared" si="28"/>
        <v>0</v>
      </c>
      <c r="AD210"/>
    </row>
    <row r="211" spans="1:30" ht="15.5">
      <c r="A211" s="64" t="s">
        <v>381</v>
      </c>
      <c r="B211" s="64" t="s">
        <v>382</v>
      </c>
      <c r="C211" s="64" t="s">
        <v>383</v>
      </c>
      <c r="D211" s="64">
        <v>0</v>
      </c>
      <c r="E211" s="64">
        <v>4420000</v>
      </c>
      <c r="F211" s="64">
        <f>+E211-D211</f>
        <v>4420000</v>
      </c>
      <c r="G211" s="64" t="s">
        <v>55</v>
      </c>
      <c r="H211" s="65">
        <f>+E211</f>
        <v>4420000</v>
      </c>
      <c r="I211" s="65">
        <f t="shared" ref="I211:I216" si="30">+H211</f>
        <v>4420000</v>
      </c>
      <c r="J211" s="64"/>
      <c r="K211" s="64"/>
      <c r="L211" s="64"/>
      <c r="M211" s="65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49">
        <f t="shared" si="29"/>
        <v>4420000</v>
      </c>
      <c r="AC211" s="49">
        <f t="shared" si="28"/>
        <v>0</v>
      </c>
      <c r="AD211" t="s">
        <v>743</v>
      </c>
    </row>
    <row r="212" spans="1:30" ht="15.5">
      <c r="A212" s="64" t="s">
        <v>380</v>
      </c>
      <c r="B212" s="64" t="s">
        <v>515</v>
      </c>
      <c r="C212" s="64" t="s">
        <v>992</v>
      </c>
      <c r="D212" s="64"/>
      <c r="E212" s="64"/>
      <c r="F212" s="64"/>
      <c r="G212" s="64"/>
      <c r="H212" s="65">
        <v>100</v>
      </c>
      <c r="I212" s="64">
        <f t="shared" si="30"/>
        <v>100</v>
      </c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49">
        <f t="shared" si="29"/>
        <v>100</v>
      </c>
      <c r="AC212" s="49">
        <f t="shared" si="28"/>
        <v>0</v>
      </c>
      <c r="AD212"/>
    </row>
    <row r="213" spans="1:30" ht="15.5">
      <c r="A213" s="64" t="s">
        <v>380</v>
      </c>
      <c r="B213" s="64" t="s">
        <v>1139</v>
      </c>
      <c r="C213" s="64" t="s">
        <v>1138</v>
      </c>
      <c r="D213" s="64"/>
      <c r="E213" s="64"/>
      <c r="F213" s="64"/>
      <c r="G213" s="64"/>
      <c r="H213" s="65">
        <v>200</v>
      </c>
      <c r="I213" s="64">
        <f t="shared" si="30"/>
        <v>200</v>
      </c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49">
        <f t="shared" si="29"/>
        <v>200</v>
      </c>
      <c r="AC213" s="49">
        <f t="shared" si="28"/>
        <v>0</v>
      </c>
      <c r="AD213"/>
    </row>
    <row r="214" spans="1:30" ht="15.5">
      <c r="A214" s="64" t="s">
        <v>380</v>
      </c>
      <c r="B214" s="64" t="s">
        <v>1141</v>
      </c>
      <c r="C214" s="64" t="s">
        <v>1140</v>
      </c>
      <c r="D214" s="64"/>
      <c r="E214" s="64"/>
      <c r="F214" s="64"/>
      <c r="G214" s="64"/>
      <c r="H214" s="65">
        <v>200</v>
      </c>
      <c r="I214" s="64">
        <f t="shared" si="30"/>
        <v>200</v>
      </c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49">
        <f t="shared" si="29"/>
        <v>200</v>
      </c>
      <c r="AC214" s="49">
        <f t="shared" si="28"/>
        <v>0</v>
      </c>
      <c r="AD214"/>
    </row>
    <row r="215" spans="1:30" ht="15.5">
      <c r="A215" s="64" t="s">
        <v>380</v>
      </c>
      <c r="B215" s="64" t="s">
        <v>1144</v>
      </c>
      <c r="C215" s="64" t="s">
        <v>1143</v>
      </c>
      <c r="D215" s="64"/>
      <c r="E215" s="64"/>
      <c r="F215" s="64"/>
      <c r="G215" s="64"/>
      <c r="H215" s="65">
        <v>200</v>
      </c>
      <c r="I215" s="64">
        <f t="shared" si="30"/>
        <v>200</v>
      </c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49">
        <f t="shared" si="29"/>
        <v>200</v>
      </c>
      <c r="AC215" s="49">
        <f t="shared" si="28"/>
        <v>0</v>
      </c>
      <c r="AD215"/>
    </row>
    <row r="216" spans="1:30" ht="15.5">
      <c r="A216" s="64" t="s">
        <v>380</v>
      </c>
      <c r="B216" s="64" t="s">
        <v>1144</v>
      </c>
      <c r="C216" s="64" t="s">
        <v>1143</v>
      </c>
      <c r="D216" s="64"/>
      <c r="E216" s="64"/>
      <c r="F216" s="64"/>
      <c r="G216" s="64"/>
      <c r="H216" s="65">
        <v>200</v>
      </c>
      <c r="I216" s="64">
        <f t="shared" si="30"/>
        <v>200</v>
      </c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49">
        <f t="shared" si="29"/>
        <v>200</v>
      </c>
      <c r="AC216" s="49">
        <f t="shared" si="28"/>
        <v>0</v>
      </c>
      <c r="AD216"/>
    </row>
    <row r="217" spans="1:30" ht="15.5">
      <c r="A217" s="64" t="s">
        <v>380</v>
      </c>
      <c r="B217" s="64" t="s">
        <v>1144</v>
      </c>
      <c r="C217" s="64" t="s">
        <v>1145</v>
      </c>
      <c r="D217" s="64"/>
      <c r="E217" s="64"/>
      <c r="F217" s="64"/>
      <c r="G217" s="64"/>
      <c r="H217" s="65">
        <v>53500</v>
      </c>
      <c r="I217" s="64">
        <v>53500</v>
      </c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49">
        <f t="shared" si="29"/>
        <v>53500</v>
      </c>
      <c r="AC217" s="49">
        <f t="shared" si="28"/>
        <v>0</v>
      </c>
      <c r="AD217"/>
    </row>
    <row r="218" spans="1:30" ht="15.5">
      <c r="A218" s="64" t="s">
        <v>380</v>
      </c>
      <c r="B218" s="64" t="s">
        <v>1144</v>
      </c>
      <c r="C218" s="64" t="s">
        <v>1146</v>
      </c>
      <c r="D218" s="64"/>
      <c r="E218" s="64"/>
      <c r="F218" s="64"/>
      <c r="G218" s="64"/>
      <c r="H218" s="65">
        <v>53500</v>
      </c>
      <c r="I218" s="64"/>
      <c r="J218" s="64"/>
      <c r="K218" s="64">
        <f>+H218</f>
        <v>53500</v>
      </c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49">
        <f t="shared" si="29"/>
        <v>53500</v>
      </c>
      <c r="AC218" s="49">
        <f t="shared" si="28"/>
        <v>0</v>
      </c>
      <c r="AD218"/>
    </row>
    <row r="219" spans="1:30" ht="15.5">
      <c r="A219" s="64" t="s">
        <v>380</v>
      </c>
      <c r="B219" s="64" t="s">
        <v>1137</v>
      </c>
      <c r="C219" s="64" t="s">
        <v>1136</v>
      </c>
      <c r="D219" s="64"/>
      <c r="E219" s="64"/>
      <c r="F219" s="64"/>
      <c r="G219" s="64"/>
      <c r="H219" s="65">
        <v>128000</v>
      </c>
      <c r="I219" s="64">
        <v>128000</v>
      </c>
      <c r="J219" s="64"/>
      <c r="K219" s="64"/>
      <c r="L219" s="64"/>
      <c r="M219" s="64"/>
      <c r="N219" s="64"/>
      <c r="O219" s="64"/>
      <c r="P219" s="82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49">
        <f t="shared" si="29"/>
        <v>128000</v>
      </c>
      <c r="AC219" s="49">
        <f t="shared" si="28"/>
        <v>0</v>
      </c>
      <c r="AD219"/>
    </row>
    <row r="220" spans="1:30" ht="15.5">
      <c r="A220" s="64" t="s">
        <v>380</v>
      </c>
      <c r="B220" s="64" t="s">
        <v>149</v>
      </c>
      <c r="C220" s="64" t="s">
        <v>150</v>
      </c>
      <c r="D220" s="64">
        <v>15272.727273</v>
      </c>
      <c r="E220" s="64">
        <v>168000</v>
      </c>
      <c r="F220" s="64">
        <f>+E220-D220</f>
        <v>152727.272727</v>
      </c>
      <c r="G220" s="64" t="s">
        <v>8</v>
      </c>
      <c r="H220" s="65">
        <f>+E220</f>
        <v>168000</v>
      </c>
      <c r="I220" s="82"/>
      <c r="J220" s="64"/>
      <c r="K220" s="65">
        <f>+H220</f>
        <v>168000</v>
      </c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49">
        <f t="shared" si="29"/>
        <v>168000</v>
      </c>
      <c r="AC220" s="49">
        <f t="shared" si="28"/>
        <v>0</v>
      </c>
      <c r="AD220" t="s">
        <v>743</v>
      </c>
    </row>
    <row r="221" spans="1:30" ht="15.5">
      <c r="A221" s="64" t="s">
        <v>380</v>
      </c>
      <c r="B221" s="64" t="s">
        <v>1141</v>
      </c>
      <c r="C221" s="64" t="s">
        <v>1142</v>
      </c>
      <c r="D221" s="64"/>
      <c r="E221" s="64"/>
      <c r="F221" s="64"/>
      <c r="G221" s="64"/>
      <c r="H221" s="65">
        <v>200000</v>
      </c>
      <c r="I221" s="64">
        <v>200000</v>
      </c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49">
        <f t="shared" si="29"/>
        <v>200000</v>
      </c>
      <c r="AC221" s="49">
        <f t="shared" si="28"/>
        <v>0</v>
      </c>
      <c r="AD221"/>
    </row>
    <row r="222" spans="1:30" ht="15.5">
      <c r="A222" s="64" t="s">
        <v>373</v>
      </c>
      <c r="B222" s="64" t="s">
        <v>1148</v>
      </c>
      <c r="C222" s="64" t="s">
        <v>1147</v>
      </c>
      <c r="D222" s="64"/>
      <c r="E222" s="64"/>
      <c r="F222" s="64"/>
      <c r="G222" s="64"/>
      <c r="H222" s="65">
        <v>200</v>
      </c>
      <c r="I222" s="64">
        <f>+H222</f>
        <v>200</v>
      </c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49">
        <f t="shared" si="29"/>
        <v>200</v>
      </c>
      <c r="AC222" s="49">
        <f t="shared" si="28"/>
        <v>0</v>
      </c>
      <c r="AD222"/>
    </row>
    <row r="223" spans="1:30" ht="15.5">
      <c r="A223" s="64" t="s">
        <v>373</v>
      </c>
      <c r="B223" s="64" t="s">
        <v>1007</v>
      </c>
      <c r="C223" s="64" t="s">
        <v>1149</v>
      </c>
      <c r="D223" s="64"/>
      <c r="E223" s="64"/>
      <c r="F223" s="64"/>
      <c r="G223" s="64"/>
      <c r="H223" s="65">
        <v>200</v>
      </c>
      <c r="I223" s="64">
        <f>+H223</f>
        <v>200</v>
      </c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49">
        <f t="shared" si="29"/>
        <v>200</v>
      </c>
      <c r="AC223" s="49">
        <f t="shared" si="28"/>
        <v>0</v>
      </c>
      <c r="AD223"/>
    </row>
    <row r="224" spans="1:30" ht="15.5">
      <c r="A224" s="64" t="s">
        <v>373</v>
      </c>
      <c r="B224" s="64" t="s">
        <v>1151</v>
      </c>
      <c r="C224" s="64" t="s">
        <v>1150</v>
      </c>
      <c r="D224" s="64"/>
      <c r="E224" s="64"/>
      <c r="F224" s="64"/>
      <c r="G224" s="64"/>
      <c r="H224" s="65">
        <v>200</v>
      </c>
      <c r="I224" s="64">
        <f>+H224</f>
        <v>200</v>
      </c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49">
        <f t="shared" si="29"/>
        <v>200</v>
      </c>
      <c r="AC224" s="49">
        <f t="shared" si="28"/>
        <v>0</v>
      </c>
      <c r="AD224"/>
    </row>
    <row r="225" spans="1:30" ht="15.5">
      <c r="A225" s="64" t="s">
        <v>373</v>
      </c>
      <c r="B225" s="64" t="s">
        <v>206</v>
      </c>
      <c r="C225" s="64" t="s">
        <v>207</v>
      </c>
      <c r="D225" s="64">
        <v>13968.18</v>
      </c>
      <c r="E225" s="64">
        <v>153650</v>
      </c>
      <c r="F225" s="64">
        <f>+E225-D225</f>
        <v>139681.82</v>
      </c>
      <c r="G225" s="64" t="s">
        <v>8</v>
      </c>
      <c r="H225" s="65">
        <f>+E225</f>
        <v>153650</v>
      </c>
      <c r="I225" s="82">
        <f>+H225</f>
        <v>153650</v>
      </c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49">
        <f t="shared" si="29"/>
        <v>153650</v>
      </c>
      <c r="AC225" s="49">
        <f t="shared" si="28"/>
        <v>0</v>
      </c>
      <c r="AD225" t="s">
        <v>743</v>
      </c>
    </row>
    <row r="226" spans="1:30" ht="15.5">
      <c r="A226" s="64" t="s">
        <v>373</v>
      </c>
      <c r="B226" s="64" t="s">
        <v>374</v>
      </c>
      <c r="C226" s="64" t="s">
        <v>375</v>
      </c>
      <c r="D226" s="64">
        <v>14909.090909</v>
      </c>
      <c r="E226" s="64">
        <v>164000</v>
      </c>
      <c r="F226" s="64">
        <f>+E226-D226</f>
        <v>149090.90909100001</v>
      </c>
      <c r="G226" s="64" t="s">
        <v>8</v>
      </c>
      <c r="H226" s="65">
        <f>+E226</f>
        <v>164000</v>
      </c>
      <c r="I226" s="65"/>
      <c r="J226" s="64"/>
      <c r="K226" s="64"/>
      <c r="L226" s="64"/>
      <c r="M226" s="64"/>
      <c r="N226" s="64"/>
      <c r="O226" s="65">
        <f>+H226</f>
        <v>164000</v>
      </c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49">
        <f t="shared" si="29"/>
        <v>164000</v>
      </c>
      <c r="AC226" s="49">
        <f t="shared" si="28"/>
        <v>0</v>
      </c>
      <c r="AD226" t="s">
        <v>743</v>
      </c>
    </row>
    <row r="227" spans="1:30" ht="15.5">
      <c r="A227" s="64" t="s">
        <v>373</v>
      </c>
      <c r="B227" s="64" t="s">
        <v>378</v>
      </c>
      <c r="C227" s="64" t="s">
        <v>379</v>
      </c>
      <c r="D227" s="64">
        <v>16454.55</v>
      </c>
      <c r="E227" s="64">
        <v>181000</v>
      </c>
      <c r="F227" s="64">
        <f>+E227-D227</f>
        <v>164545.45000000001</v>
      </c>
      <c r="G227" s="64" t="s">
        <v>8</v>
      </c>
      <c r="H227" s="65">
        <f>+E227</f>
        <v>181000</v>
      </c>
      <c r="I227" s="65"/>
      <c r="J227" s="64"/>
      <c r="K227" s="64"/>
      <c r="L227" s="65">
        <f>+H227</f>
        <v>181000</v>
      </c>
      <c r="M227" s="82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49">
        <f t="shared" si="29"/>
        <v>181000</v>
      </c>
      <c r="AC227" s="49">
        <f t="shared" si="28"/>
        <v>0</v>
      </c>
      <c r="AD227" t="s">
        <v>743</v>
      </c>
    </row>
    <row r="228" spans="1:30" ht="15.5">
      <c r="A228" s="64" t="s">
        <v>373</v>
      </c>
      <c r="B228" s="64" t="s">
        <v>376</v>
      </c>
      <c r="C228" s="64" t="s">
        <v>377</v>
      </c>
      <c r="D228" s="64">
        <v>17896.36</v>
      </c>
      <c r="E228" s="64">
        <v>196860</v>
      </c>
      <c r="F228" s="64">
        <f>+E228-D228</f>
        <v>178963.64</v>
      </c>
      <c r="G228" s="64" t="s">
        <v>8</v>
      </c>
      <c r="H228" s="65">
        <f>+E228</f>
        <v>196860</v>
      </c>
      <c r="I228" s="64"/>
      <c r="J228" s="64"/>
      <c r="K228" s="65"/>
      <c r="L228" s="65">
        <f>+H228</f>
        <v>196860</v>
      </c>
      <c r="M228" s="65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49">
        <f t="shared" si="29"/>
        <v>196860</v>
      </c>
      <c r="AC228" s="49">
        <f t="shared" si="28"/>
        <v>0</v>
      </c>
      <c r="AD228" t="s">
        <v>743</v>
      </c>
    </row>
    <row r="229" spans="1:30" ht="15.5">
      <c r="A229" s="64" t="s">
        <v>373</v>
      </c>
      <c r="B229" s="64" t="s">
        <v>156</v>
      </c>
      <c r="C229" s="64" t="s">
        <v>157</v>
      </c>
      <c r="D229" s="64">
        <v>763636.36</v>
      </c>
      <c r="E229" s="64">
        <v>8400000</v>
      </c>
      <c r="F229" s="64">
        <f>+E229-D229</f>
        <v>7636363.6399999997</v>
      </c>
      <c r="G229" s="64" t="s">
        <v>8</v>
      </c>
      <c r="H229" s="65">
        <f>+E229</f>
        <v>8400000</v>
      </c>
      <c r="I229" s="64"/>
      <c r="J229" s="82"/>
      <c r="K229" s="64"/>
      <c r="L229" s="64"/>
      <c r="M229" s="64"/>
      <c r="N229" s="64"/>
      <c r="O229" s="64"/>
      <c r="P229" s="65">
        <f>+H229</f>
        <v>8400000</v>
      </c>
      <c r="Q229" s="65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49">
        <f t="shared" si="29"/>
        <v>8400000</v>
      </c>
      <c r="AC229" s="49">
        <f t="shared" si="28"/>
        <v>0</v>
      </c>
      <c r="AD229" t="s">
        <v>743</v>
      </c>
    </row>
    <row r="230" spans="1:30" ht="15.5">
      <c r="A230" s="64" t="s">
        <v>372</v>
      </c>
      <c r="B230" s="64" t="s">
        <v>914</v>
      </c>
      <c r="C230" s="64" t="s">
        <v>1152</v>
      </c>
      <c r="D230" s="64"/>
      <c r="E230" s="64"/>
      <c r="F230" s="64"/>
      <c r="G230" s="64"/>
      <c r="H230" s="65">
        <v>200</v>
      </c>
      <c r="I230" s="64">
        <f>+H230</f>
        <v>200</v>
      </c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49">
        <f t="shared" si="29"/>
        <v>200</v>
      </c>
      <c r="AC230" s="49">
        <f t="shared" si="28"/>
        <v>0</v>
      </c>
      <c r="AD230"/>
    </row>
    <row r="231" spans="1:30" ht="15.5">
      <c r="A231" s="64" t="s">
        <v>372</v>
      </c>
      <c r="B231" s="64" t="s">
        <v>1155</v>
      </c>
      <c r="C231" s="64" t="s">
        <v>1154</v>
      </c>
      <c r="D231" s="64"/>
      <c r="E231" s="64"/>
      <c r="F231" s="64"/>
      <c r="G231" s="64"/>
      <c r="H231" s="65">
        <v>200</v>
      </c>
      <c r="I231" s="64">
        <f>+H231</f>
        <v>200</v>
      </c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49">
        <f t="shared" si="29"/>
        <v>200</v>
      </c>
      <c r="AC231" s="49">
        <f t="shared" si="28"/>
        <v>0</v>
      </c>
      <c r="AD231"/>
    </row>
    <row r="232" spans="1:30" ht="15.5">
      <c r="A232" s="64" t="s">
        <v>372</v>
      </c>
      <c r="B232" s="64" t="s">
        <v>140</v>
      </c>
      <c r="C232" s="64" t="s">
        <v>141</v>
      </c>
      <c r="D232" s="64">
        <v>0</v>
      </c>
      <c r="E232" s="64">
        <v>80000</v>
      </c>
      <c r="F232" s="64">
        <f>+E232-D232</f>
        <v>80000</v>
      </c>
      <c r="G232" s="64" t="s">
        <v>55</v>
      </c>
      <c r="H232" s="65">
        <f>+E232</f>
        <v>80000</v>
      </c>
      <c r="I232" s="64"/>
      <c r="J232" s="82"/>
      <c r="K232" s="64"/>
      <c r="L232" s="64"/>
      <c r="M232" s="65">
        <f>+H232</f>
        <v>80000</v>
      </c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49">
        <f t="shared" si="29"/>
        <v>80000</v>
      </c>
      <c r="AC232" s="49">
        <f t="shared" si="28"/>
        <v>0</v>
      </c>
      <c r="AD232" t="s">
        <v>743</v>
      </c>
    </row>
    <row r="233" spans="1:30" ht="15.5">
      <c r="A233" s="64" t="s">
        <v>372</v>
      </c>
      <c r="B233" s="64" t="s">
        <v>914</v>
      </c>
      <c r="C233" s="64" t="s">
        <v>1153</v>
      </c>
      <c r="D233" s="64"/>
      <c r="E233" s="64"/>
      <c r="F233" s="64"/>
      <c r="G233" s="64"/>
      <c r="H233" s="65">
        <v>80000</v>
      </c>
      <c r="I233" s="64"/>
      <c r="J233" s="64"/>
      <c r="K233" s="64"/>
      <c r="L233" s="64"/>
      <c r="M233" s="64"/>
      <c r="N233" s="64"/>
      <c r="O233" s="64"/>
      <c r="P233" s="64">
        <f>+H233</f>
        <v>80000</v>
      </c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49">
        <f t="shared" si="29"/>
        <v>80000</v>
      </c>
      <c r="AC233" s="49">
        <f t="shared" si="28"/>
        <v>0</v>
      </c>
      <c r="AD233"/>
    </row>
    <row r="234" spans="1:30" ht="15.5">
      <c r="A234" s="64" t="s">
        <v>372</v>
      </c>
      <c r="B234" s="64" t="s">
        <v>304</v>
      </c>
      <c r="C234" s="64" t="s">
        <v>305</v>
      </c>
      <c r="D234" s="64">
        <v>12909.09</v>
      </c>
      <c r="E234" s="64">
        <v>142000</v>
      </c>
      <c r="F234" s="64">
        <f>+E234-D234</f>
        <v>129090.91</v>
      </c>
      <c r="G234" s="64" t="s">
        <v>8</v>
      </c>
      <c r="H234" s="65">
        <f>+E234</f>
        <v>142000</v>
      </c>
      <c r="I234" s="84"/>
      <c r="J234" s="64"/>
      <c r="K234" s="64"/>
      <c r="L234" s="64"/>
      <c r="M234" s="64"/>
      <c r="N234" s="64"/>
      <c r="O234" s="64"/>
      <c r="P234" s="65">
        <f>+H234</f>
        <v>142000</v>
      </c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49">
        <f>SUM(J234:AA234)</f>
        <v>142000</v>
      </c>
      <c r="AC234" s="49">
        <f t="shared" si="28"/>
        <v>0</v>
      </c>
      <c r="AD234" t="s">
        <v>743</v>
      </c>
    </row>
    <row r="235" spans="1:30" ht="15.5">
      <c r="A235" s="64" t="s">
        <v>372</v>
      </c>
      <c r="B235" s="64" t="s">
        <v>10</v>
      </c>
      <c r="C235" s="64" t="s">
        <v>11</v>
      </c>
      <c r="D235" s="64">
        <v>15092.36</v>
      </c>
      <c r="E235" s="64">
        <v>166016</v>
      </c>
      <c r="F235" s="64">
        <f>+E235-D235</f>
        <v>150923.64000000001</v>
      </c>
      <c r="G235" s="64" t="s">
        <v>8</v>
      </c>
      <c r="H235" s="65">
        <f>+E235</f>
        <v>166016</v>
      </c>
      <c r="I235" s="65">
        <f>+H235</f>
        <v>166016</v>
      </c>
      <c r="J235" s="64"/>
      <c r="K235" s="64"/>
      <c r="L235" s="64"/>
      <c r="M235" s="64"/>
      <c r="N235" s="82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49">
        <f t="shared" ref="AB235:AB260" si="31">SUM(I235:AA235)</f>
        <v>166016</v>
      </c>
      <c r="AC235" s="49">
        <f t="shared" si="28"/>
        <v>0</v>
      </c>
      <c r="AD235" t="s">
        <v>743</v>
      </c>
    </row>
    <row r="236" spans="1:30" ht="15.5">
      <c r="A236" s="64" t="s">
        <v>372</v>
      </c>
      <c r="B236" s="64" t="s">
        <v>241</v>
      </c>
      <c r="C236" s="64" t="s">
        <v>242</v>
      </c>
      <c r="D236" s="64">
        <v>25200</v>
      </c>
      <c r="E236" s="64">
        <v>277200</v>
      </c>
      <c r="F236" s="64">
        <f>+E236-D236</f>
        <v>252000</v>
      </c>
      <c r="G236" s="64" t="s">
        <v>8</v>
      </c>
      <c r="H236" s="65">
        <f>+E236</f>
        <v>277200</v>
      </c>
      <c r="I236" s="64"/>
      <c r="J236" s="64"/>
      <c r="K236" s="64"/>
      <c r="L236" s="64"/>
      <c r="M236" s="64"/>
      <c r="N236" s="64"/>
      <c r="O236" s="65">
        <f>+H236</f>
        <v>277200</v>
      </c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49">
        <f t="shared" si="31"/>
        <v>277200</v>
      </c>
      <c r="AC236" s="49">
        <f t="shared" si="28"/>
        <v>0</v>
      </c>
      <c r="AD236" t="s">
        <v>743</v>
      </c>
    </row>
    <row r="237" spans="1:30" ht="15.5">
      <c r="A237" s="64" t="s">
        <v>372</v>
      </c>
      <c r="B237" s="64" t="s">
        <v>1155</v>
      </c>
      <c r="C237" s="64" t="s">
        <v>1156</v>
      </c>
      <c r="D237" s="64"/>
      <c r="E237" s="64"/>
      <c r="F237" s="64"/>
      <c r="G237" s="64"/>
      <c r="H237" s="65">
        <v>2000000</v>
      </c>
      <c r="I237" s="64">
        <f>+H237</f>
        <v>2000000</v>
      </c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49">
        <f t="shared" si="31"/>
        <v>2000000</v>
      </c>
      <c r="AC237" s="49">
        <f t="shared" si="28"/>
        <v>0</v>
      </c>
      <c r="AD237"/>
    </row>
    <row r="238" spans="1:30" ht="15.5">
      <c r="A238" s="64" t="s">
        <v>357</v>
      </c>
      <c r="B238" s="64" t="s">
        <v>1158</v>
      </c>
      <c r="C238" s="64" t="s">
        <v>1157</v>
      </c>
      <c r="D238" s="64"/>
      <c r="E238" s="64"/>
      <c r="F238" s="64"/>
      <c r="G238" s="64"/>
      <c r="H238" s="65">
        <v>200</v>
      </c>
      <c r="I238" s="64">
        <f>+H238</f>
        <v>200</v>
      </c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49">
        <f t="shared" si="31"/>
        <v>200</v>
      </c>
      <c r="AC238" s="49">
        <f t="shared" si="28"/>
        <v>0</v>
      </c>
      <c r="AD238"/>
    </row>
    <row r="239" spans="1:30" ht="15.5">
      <c r="A239" s="64" t="s">
        <v>357</v>
      </c>
      <c r="B239" s="64" t="s">
        <v>362</v>
      </c>
      <c r="C239" s="64" t="s">
        <v>363</v>
      </c>
      <c r="D239" s="64">
        <v>745.27</v>
      </c>
      <c r="E239" s="64">
        <v>8198</v>
      </c>
      <c r="F239" s="64">
        <f t="shared" ref="F239:F248" si="32">+E239-D239</f>
        <v>7452.73</v>
      </c>
      <c r="G239" s="64" t="s">
        <v>8</v>
      </c>
      <c r="H239" s="65">
        <f t="shared" ref="H239:H248" si="33">+E239</f>
        <v>8198</v>
      </c>
      <c r="I239" s="65">
        <f>+H239</f>
        <v>8198</v>
      </c>
      <c r="J239" s="65"/>
      <c r="K239" s="82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49">
        <f t="shared" si="31"/>
        <v>8198</v>
      </c>
      <c r="AC239" s="49">
        <f t="shared" si="28"/>
        <v>0</v>
      </c>
      <c r="AD239" t="s">
        <v>743</v>
      </c>
    </row>
    <row r="240" spans="1:30" ht="15.5">
      <c r="A240" s="64" t="s">
        <v>357</v>
      </c>
      <c r="B240" s="64" t="s">
        <v>358</v>
      </c>
      <c r="C240" s="64" t="s">
        <v>359</v>
      </c>
      <c r="D240" s="64">
        <v>0</v>
      </c>
      <c r="E240" s="64">
        <v>12380</v>
      </c>
      <c r="F240" s="64">
        <f t="shared" si="32"/>
        <v>12380</v>
      </c>
      <c r="G240" s="64" t="s">
        <v>55</v>
      </c>
      <c r="H240" s="65">
        <f t="shared" si="33"/>
        <v>12380</v>
      </c>
      <c r="I240" s="82"/>
      <c r="J240" s="64"/>
      <c r="K240" s="65">
        <f>+H240</f>
        <v>12380</v>
      </c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49">
        <f t="shared" si="31"/>
        <v>12380</v>
      </c>
      <c r="AC240" s="49">
        <f t="shared" si="28"/>
        <v>0</v>
      </c>
      <c r="AD240" t="s">
        <v>743</v>
      </c>
    </row>
    <row r="241" spans="1:30" ht="15.5">
      <c r="A241" s="64" t="s">
        <v>357</v>
      </c>
      <c r="B241" s="64" t="s">
        <v>364</v>
      </c>
      <c r="C241" s="64" t="s">
        <v>365</v>
      </c>
      <c r="D241" s="64">
        <v>0</v>
      </c>
      <c r="E241" s="64">
        <v>22524</v>
      </c>
      <c r="F241" s="64">
        <f t="shared" si="32"/>
        <v>22524</v>
      </c>
      <c r="G241" s="64" t="s">
        <v>55</v>
      </c>
      <c r="H241" s="65">
        <f t="shared" si="33"/>
        <v>22524</v>
      </c>
      <c r="I241" s="64"/>
      <c r="J241" s="65"/>
      <c r="K241" s="65">
        <f>+H241</f>
        <v>22524</v>
      </c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49">
        <f t="shared" si="31"/>
        <v>22524</v>
      </c>
      <c r="AC241" s="49">
        <f t="shared" si="28"/>
        <v>0</v>
      </c>
      <c r="AD241" t="s">
        <v>743</v>
      </c>
    </row>
    <row r="242" spans="1:30" ht="15.5">
      <c r="A242" s="64" t="s">
        <v>357</v>
      </c>
      <c r="B242" s="64" t="s">
        <v>335</v>
      </c>
      <c r="C242" s="64" t="s">
        <v>336</v>
      </c>
      <c r="D242" s="64">
        <v>0</v>
      </c>
      <c r="E242" s="64">
        <v>75000</v>
      </c>
      <c r="F242" s="64">
        <f t="shared" si="32"/>
        <v>75000</v>
      </c>
      <c r="G242" s="64" t="s">
        <v>8</v>
      </c>
      <c r="H242" s="65">
        <f t="shared" si="33"/>
        <v>75000</v>
      </c>
      <c r="I242" s="64"/>
      <c r="J242" s="64"/>
      <c r="K242" s="64"/>
      <c r="L242" s="64"/>
      <c r="M242" s="65">
        <f>+H242</f>
        <v>75000</v>
      </c>
      <c r="N242" s="64"/>
      <c r="O242" s="64"/>
      <c r="P242" s="64"/>
      <c r="Q242" s="65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49">
        <f t="shared" si="31"/>
        <v>75000</v>
      </c>
      <c r="AC242" s="49">
        <f t="shared" si="28"/>
        <v>0</v>
      </c>
      <c r="AD242" t="s">
        <v>743</v>
      </c>
    </row>
    <row r="243" spans="1:30" ht="15.5">
      <c r="A243" s="64" t="s">
        <v>357</v>
      </c>
      <c r="B243" s="64" t="s">
        <v>366</v>
      </c>
      <c r="C243" s="64" t="s">
        <v>367</v>
      </c>
      <c r="D243" s="64">
        <v>8434</v>
      </c>
      <c r="E243" s="64">
        <v>92774</v>
      </c>
      <c r="F243" s="64">
        <f t="shared" si="32"/>
        <v>84340</v>
      </c>
      <c r="G243" s="64" t="s">
        <v>8</v>
      </c>
      <c r="H243" s="65">
        <f t="shared" si="33"/>
        <v>92774</v>
      </c>
      <c r="I243" s="65">
        <f>+H243</f>
        <v>92774</v>
      </c>
      <c r="J243" s="65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49">
        <f t="shared" si="31"/>
        <v>92774</v>
      </c>
      <c r="AC243" s="49">
        <f t="shared" si="28"/>
        <v>0</v>
      </c>
      <c r="AD243" t="s">
        <v>743</v>
      </c>
    </row>
    <row r="244" spans="1:30" ht="15.5">
      <c r="A244" s="64" t="s">
        <v>357</v>
      </c>
      <c r="B244" s="64" t="s">
        <v>370</v>
      </c>
      <c r="C244" s="64" t="s">
        <v>371</v>
      </c>
      <c r="D244" s="64">
        <v>13400</v>
      </c>
      <c r="E244" s="64">
        <v>147400</v>
      </c>
      <c r="F244" s="64">
        <f t="shared" si="32"/>
        <v>134000</v>
      </c>
      <c r="G244" s="64" t="s">
        <v>8</v>
      </c>
      <c r="H244" s="65">
        <f t="shared" si="33"/>
        <v>147400</v>
      </c>
      <c r="I244" s="65">
        <f>+H244</f>
        <v>147400</v>
      </c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49">
        <f t="shared" si="31"/>
        <v>147400</v>
      </c>
      <c r="AC244" s="49">
        <f t="shared" si="28"/>
        <v>0</v>
      </c>
      <c r="AD244" t="s">
        <v>743</v>
      </c>
    </row>
    <row r="245" spans="1:30" ht="15.5">
      <c r="A245" s="64" t="s">
        <v>357</v>
      </c>
      <c r="B245" s="64" t="s">
        <v>360</v>
      </c>
      <c r="C245" s="64" t="s">
        <v>361</v>
      </c>
      <c r="D245" s="64">
        <v>41979.82</v>
      </c>
      <c r="E245" s="64">
        <v>461778</v>
      </c>
      <c r="F245" s="64">
        <f t="shared" si="32"/>
        <v>419798.18</v>
      </c>
      <c r="G245" s="64" t="s">
        <v>8</v>
      </c>
      <c r="H245" s="65">
        <f t="shared" si="33"/>
        <v>461778</v>
      </c>
      <c r="I245" s="65"/>
      <c r="J245" s="64"/>
      <c r="K245" s="65">
        <f>+H245</f>
        <v>461778</v>
      </c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49">
        <f t="shared" si="31"/>
        <v>461778</v>
      </c>
      <c r="AC245" s="49">
        <f t="shared" si="28"/>
        <v>0</v>
      </c>
      <c r="AD245" t="s">
        <v>743</v>
      </c>
    </row>
    <row r="246" spans="1:30" ht="15.5">
      <c r="A246" s="64" t="s">
        <v>357</v>
      </c>
      <c r="B246" s="64" t="s">
        <v>368</v>
      </c>
      <c r="C246" s="64" t="s">
        <v>369</v>
      </c>
      <c r="D246" s="64">
        <v>600000</v>
      </c>
      <c r="E246" s="64">
        <v>6600000</v>
      </c>
      <c r="F246" s="64">
        <f t="shared" si="32"/>
        <v>6000000</v>
      </c>
      <c r="G246" s="64" t="s">
        <v>8</v>
      </c>
      <c r="H246" s="65">
        <f t="shared" si="33"/>
        <v>6600000</v>
      </c>
      <c r="I246" s="64"/>
      <c r="J246" s="64"/>
      <c r="K246" s="64"/>
      <c r="L246" s="64"/>
      <c r="M246" s="64"/>
      <c r="N246" s="65">
        <f>+H246</f>
        <v>6600000</v>
      </c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49">
        <f t="shared" si="31"/>
        <v>6600000</v>
      </c>
      <c r="AC246" s="49">
        <f t="shared" si="28"/>
        <v>0</v>
      </c>
      <c r="AD246" t="s">
        <v>743</v>
      </c>
    </row>
    <row r="247" spans="1:30" ht="15.5">
      <c r="A247" s="64" t="s">
        <v>354</v>
      </c>
      <c r="B247" s="64" t="s">
        <v>56</v>
      </c>
      <c r="C247" s="64" t="s">
        <v>57</v>
      </c>
      <c r="D247" s="64">
        <v>0</v>
      </c>
      <c r="E247" s="64">
        <v>100</v>
      </c>
      <c r="F247" s="64">
        <f t="shared" si="32"/>
        <v>100</v>
      </c>
      <c r="G247" s="64" t="s">
        <v>55</v>
      </c>
      <c r="H247" s="65">
        <f t="shared" si="33"/>
        <v>100</v>
      </c>
      <c r="I247" s="65">
        <f>+H247</f>
        <v>100</v>
      </c>
      <c r="J247" s="64"/>
      <c r="K247" s="65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49">
        <f t="shared" si="31"/>
        <v>100</v>
      </c>
      <c r="AC247" s="49">
        <f t="shared" si="28"/>
        <v>0</v>
      </c>
      <c r="AD247" t="s">
        <v>743</v>
      </c>
    </row>
    <row r="248" spans="1:30" ht="15.5">
      <c r="A248" s="64" t="s">
        <v>354</v>
      </c>
      <c r="B248" s="64" t="s">
        <v>56</v>
      </c>
      <c r="C248" s="64" t="s">
        <v>57</v>
      </c>
      <c r="D248" s="64">
        <v>0</v>
      </c>
      <c r="E248" s="64">
        <v>100</v>
      </c>
      <c r="F248" s="64">
        <f t="shared" si="32"/>
        <v>100</v>
      </c>
      <c r="G248" s="64" t="s">
        <v>55</v>
      </c>
      <c r="H248" s="65">
        <f t="shared" si="33"/>
        <v>100</v>
      </c>
      <c r="I248" s="65">
        <f>+H248</f>
        <v>100</v>
      </c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49">
        <f t="shared" si="31"/>
        <v>100</v>
      </c>
      <c r="AC248" s="49">
        <f t="shared" si="28"/>
        <v>0</v>
      </c>
      <c r="AD248" t="s">
        <v>743</v>
      </c>
    </row>
    <row r="249" spans="1:30" ht="15.5">
      <c r="A249" s="64" t="s">
        <v>354</v>
      </c>
      <c r="B249" s="64" t="s">
        <v>1160</v>
      </c>
      <c r="C249" s="64" t="s">
        <v>1159</v>
      </c>
      <c r="D249" s="64"/>
      <c r="E249" s="64"/>
      <c r="F249" s="64"/>
      <c r="G249" s="64"/>
      <c r="H249" s="65">
        <v>200</v>
      </c>
      <c r="I249" s="64">
        <f>+H249</f>
        <v>200</v>
      </c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49">
        <f t="shared" si="31"/>
        <v>200</v>
      </c>
      <c r="AC249" s="49">
        <f t="shared" si="28"/>
        <v>0</v>
      </c>
      <c r="AD249"/>
    </row>
    <row r="250" spans="1:30" ht="15.5">
      <c r="A250" s="64" t="s">
        <v>354</v>
      </c>
      <c r="B250" s="64" t="s">
        <v>1160</v>
      </c>
      <c r="C250" s="64" t="s">
        <v>1161</v>
      </c>
      <c r="D250" s="64"/>
      <c r="E250" s="64"/>
      <c r="F250" s="64"/>
      <c r="G250" s="64"/>
      <c r="H250" s="65">
        <v>1920000</v>
      </c>
      <c r="I250" s="64">
        <f>+H250</f>
        <v>1920000</v>
      </c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49">
        <f t="shared" si="31"/>
        <v>1920000</v>
      </c>
      <c r="AC250" s="49">
        <f t="shared" si="28"/>
        <v>0</v>
      </c>
      <c r="AD250"/>
    </row>
    <row r="251" spans="1:30" ht="15.5">
      <c r="A251" s="64" t="s">
        <v>354</v>
      </c>
      <c r="B251" s="64" t="s">
        <v>355</v>
      </c>
      <c r="C251" s="64" t="s">
        <v>356</v>
      </c>
      <c r="D251" s="64">
        <v>0</v>
      </c>
      <c r="E251" s="64">
        <v>2015315</v>
      </c>
      <c r="F251" s="64">
        <f>+E251-D251</f>
        <v>2015315</v>
      </c>
      <c r="G251" s="64" t="s">
        <v>8</v>
      </c>
      <c r="H251" s="65">
        <f>+E251</f>
        <v>2015315</v>
      </c>
      <c r="I251" s="82"/>
      <c r="J251" s="64"/>
      <c r="K251" s="64"/>
      <c r="L251" s="64"/>
      <c r="M251" s="65"/>
      <c r="N251" s="65">
        <f>+H251</f>
        <v>2015315</v>
      </c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49">
        <f t="shared" si="31"/>
        <v>2015315</v>
      </c>
      <c r="AC251" s="49">
        <f t="shared" si="28"/>
        <v>0</v>
      </c>
      <c r="AD251" t="s">
        <v>743</v>
      </c>
    </row>
    <row r="252" spans="1:30" ht="15.5">
      <c r="A252" s="64" t="s">
        <v>347</v>
      </c>
      <c r="B252" s="64" t="s">
        <v>56</v>
      </c>
      <c r="C252" s="64" t="s">
        <v>57</v>
      </c>
      <c r="D252" s="64">
        <v>0</v>
      </c>
      <c r="E252" s="64">
        <v>100</v>
      </c>
      <c r="F252" s="64">
        <f>+E252-D252</f>
        <v>100</v>
      </c>
      <c r="G252" s="64" t="s">
        <v>55</v>
      </c>
      <c r="H252" s="65">
        <f>+E252</f>
        <v>100</v>
      </c>
      <c r="I252" s="65">
        <f>+H252</f>
        <v>100</v>
      </c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49">
        <f t="shared" si="31"/>
        <v>100</v>
      </c>
      <c r="AC252" s="49">
        <f t="shared" si="28"/>
        <v>0</v>
      </c>
      <c r="AD252" t="s">
        <v>743</v>
      </c>
    </row>
    <row r="253" spans="1:30" ht="15.5">
      <c r="A253" s="64" t="s">
        <v>347</v>
      </c>
      <c r="B253" s="64" t="s">
        <v>914</v>
      </c>
      <c r="C253" s="64" t="s">
        <v>1162</v>
      </c>
      <c r="D253" s="64"/>
      <c r="E253" s="64"/>
      <c r="F253" s="64"/>
      <c r="G253" s="64"/>
      <c r="H253" s="65">
        <v>200</v>
      </c>
      <c r="I253" s="64">
        <f>+H253</f>
        <v>200</v>
      </c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49">
        <f t="shared" si="31"/>
        <v>200</v>
      </c>
      <c r="AC253" s="49">
        <f t="shared" si="28"/>
        <v>0</v>
      </c>
      <c r="AD253"/>
    </row>
    <row r="254" spans="1:30" ht="15.5">
      <c r="A254" s="64" t="s">
        <v>347</v>
      </c>
      <c r="B254" s="64" t="s">
        <v>53</v>
      </c>
      <c r="C254" s="64" t="s">
        <v>54</v>
      </c>
      <c r="D254" s="64">
        <v>0</v>
      </c>
      <c r="E254" s="64">
        <v>1000</v>
      </c>
      <c r="F254" s="64">
        <f t="shared" ref="F254:F259" si="34">+E254-D254</f>
        <v>1000</v>
      </c>
      <c r="G254" s="64" t="s">
        <v>55</v>
      </c>
      <c r="H254" s="65">
        <f t="shared" ref="H254:H259" si="35">+E254</f>
        <v>1000</v>
      </c>
      <c r="I254" s="65">
        <f>+H254</f>
        <v>1000</v>
      </c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49">
        <f t="shared" si="31"/>
        <v>1000</v>
      </c>
      <c r="AC254" s="49">
        <f t="shared" si="28"/>
        <v>0</v>
      </c>
      <c r="AD254" t="s">
        <v>743</v>
      </c>
    </row>
    <row r="255" spans="1:30" ht="15.5">
      <c r="A255" s="64" t="s">
        <v>347</v>
      </c>
      <c r="B255" s="64" t="s">
        <v>56</v>
      </c>
      <c r="C255" s="64" t="s">
        <v>57</v>
      </c>
      <c r="D255" s="64">
        <v>0</v>
      </c>
      <c r="E255" s="64">
        <v>2000</v>
      </c>
      <c r="F255" s="64">
        <f t="shared" si="34"/>
        <v>2000</v>
      </c>
      <c r="G255" s="64" t="s">
        <v>55</v>
      </c>
      <c r="H255" s="65">
        <f t="shared" si="35"/>
        <v>2000</v>
      </c>
      <c r="I255" s="65">
        <f>+H255</f>
        <v>2000</v>
      </c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49">
        <f t="shared" si="31"/>
        <v>2000</v>
      </c>
      <c r="AC255" s="49">
        <f t="shared" si="28"/>
        <v>0</v>
      </c>
      <c r="AD255" t="s">
        <v>743</v>
      </c>
    </row>
    <row r="256" spans="1:30" ht="15.5">
      <c r="A256" s="64" t="s">
        <v>347</v>
      </c>
      <c r="B256" s="64" t="s">
        <v>10</v>
      </c>
      <c r="C256" s="64" t="s">
        <v>11</v>
      </c>
      <c r="D256" s="64">
        <v>14713</v>
      </c>
      <c r="E256" s="64">
        <v>161843</v>
      </c>
      <c r="F256" s="64">
        <f t="shared" si="34"/>
        <v>147130</v>
      </c>
      <c r="G256" s="64" t="s">
        <v>8</v>
      </c>
      <c r="H256" s="65">
        <f t="shared" si="35"/>
        <v>161843</v>
      </c>
      <c r="I256" s="65"/>
      <c r="J256" s="64"/>
      <c r="K256" s="64"/>
      <c r="L256" s="64"/>
      <c r="M256" s="64"/>
      <c r="N256" s="64"/>
      <c r="O256" s="64"/>
      <c r="P256" s="65">
        <f>+H256</f>
        <v>161843</v>
      </c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49">
        <f t="shared" si="31"/>
        <v>161843</v>
      </c>
      <c r="AC256" s="49">
        <f t="shared" si="28"/>
        <v>0</v>
      </c>
      <c r="AD256" t="s">
        <v>743</v>
      </c>
    </row>
    <row r="257" spans="1:30" ht="15.5">
      <c r="A257" s="64" t="s">
        <v>347</v>
      </c>
      <c r="B257" s="64" t="s">
        <v>352</v>
      </c>
      <c r="C257" s="64" t="s">
        <v>353</v>
      </c>
      <c r="D257" s="64">
        <v>48272.727272999997</v>
      </c>
      <c r="E257" s="64">
        <v>531000</v>
      </c>
      <c r="F257" s="64">
        <f t="shared" si="34"/>
        <v>482727.272727</v>
      </c>
      <c r="G257" s="64" t="s">
        <v>8</v>
      </c>
      <c r="H257" s="65">
        <f t="shared" si="35"/>
        <v>531000</v>
      </c>
      <c r="I257" s="65"/>
      <c r="J257" s="64"/>
      <c r="K257" s="64"/>
      <c r="L257" s="64"/>
      <c r="M257" s="65">
        <f>+H257</f>
        <v>531000</v>
      </c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49">
        <f t="shared" si="31"/>
        <v>531000</v>
      </c>
      <c r="AC257" s="49">
        <f t="shared" si="28"/>
        <v>0</v>
      </c>
      <c r="AD257" t="s">
        <v>743</v>
      </c>
    </row>
    <row r="258" spans="1:30" ht="15.5">
      <c r="A258" s="64" t="s">
        <v>347</v>
      </c>
      <c r="B258" s="64" t="s">
        <v>348</v>
      </c>
      <c r="C258" s="64" t="s">
        <v>349</v>
      </c>
      <c r="D258" s="64">
        <v>0</v>
      </c>
      <c r="E258" s="64">
        <v>5168000</v>
      </c>
      <c r="F258" s="64">
        <f t="shared" si="34"/>
        <v>5168000</v>
      </c>
      <c r="G258" s="64" t="s">
        <v>8</v>
      </c>
      <c r="H258" s="65">
        <f t="shared" si="35"/>
        <v>5168000</v>
      </c>
      <c r="I258" s="65"/>
      <c r="J258" s="64"/>
      <c r="K258" s="65"/>
      <c r="L258" s="65">
        <f>+H258</f>
        <v>5168000</v>
      </c>
      <c r="M258" s="64"/>
      <c r="N258" s="64"/>
      <c r="O258" s="65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49">
        <f t="shared" si="31"/>
        <v>5168000</v>
      </c>
      <c r="AC258" s="49">
        <f t="shared" si="28"/>
        <v>0</v>
      </c>
      <c r="AD258" t="s">
        <v>743</v>
      </c>
    </row>
    <row r="259" spans="1:30" ht="15.5">
      <c r="A259" s="64" t="s">
        <v>347</v>
      </c>
      <c r="B259" s="64" t="s">
        <v>350</v>
      </c>
      <c r="C259" s="64" t="s">
        <v>351</v>
      </c>
      <c r="D259" s="64">
        <v>0</v>
      </c>
      <c r="E259" s="64">
        <v>14000000</v>
      </c>
      <c r="F259" s="64">
        <f t="shared" si="34"/>
        <v>14000000</v>
      </c>
      <c r="G259" s="64" t="s">
        <v>8</v>
      </c>
      <c r="H259" s="65">
        <f t="shared" si="35"/>
        <v>14000000</v>
      </c>
      <c r="I259" s="65"/>
      <c r="J259" s="64"/>
      <c r="K259" s="64"/>
      <c r="L259" s="64"/>
      <c r="M259" s="64"/>
      <c r="N259" s="64"/>
      <c r="O259" s="64"/>
      <c r="P259" s="65">
        <f>+H259</f>
        <v>14000000</v>
      </c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49">
        <f t="shared" si="31"/>
        <v>14000000</v>
      </c>
      <c r="AC259" s="49">
        <f t="shared" si="28"/>
        <v>0</v>
      </c>
      <c r="AD259" t="s">
        <v>743</v>
      </c>
    </row>
    <row r="260" spans="1:30" ht="15.5">
      <c r="A260" s="64" t="s">
        <v>347</v>
      </c>
      <c r="B260" s="64" t="s">
        <v>914</v>
      </c>
      <c r="C260" s="64" t="s">
        <v>1163</v>
      </c>
      <c r="D260" s="64"/>
      <c r="E260" s="64"/>
      <c r="F260" s="64"/>
      <c r="G260"/>
      <c r="H260" s="64">
        <v>266000</v>
      </c>
      <c r="I260" s="64"/>
      <c r="J260" s="64"/>
      <c r="K260" s="64"/>
      <c r="L260"/>
      <c r="M260" s="64">
        <f>+H260</f>
        <v>266000</v>
      </c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49">
        <f t="shared" si="31"/>
        <v>266000</v>
      </c>
      <c r="AC260" s="49"/>
      <c r="AD260"/>
    </row>
  </sheetData>
  <autoFilter ref="A3:AD26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58"/>
  <sheetViews>
    <sheetView topLeftCell="H1" zoomScale="70" zoomScaleNormal="70" workbookViewId="0">
      <pane ySplit="1" topLeftCell="A213" activePane="bottomLeft" state="frozen"/>
      <selection pane="bottomLeft" activeCell="A2" sqref="A2:AD256"/>
    </sheetView>
  </sheetViews>
  <sheetFormatPr defaultRowHeight="15.5"/>
  <cols>
    <col min="1" max="1" width="36.25" customWidth="1"/>
    <col min="2" max="21" width="16.5" customWidth="1"/>
    <col min="22" max="22" width="8.58203125" bestFit="1" customWidth="1"/>
    <col min="23" max="23" width="8.83203125" bestFit="1" customWidth="1"/>
    <col min="24" max="26" width="7.83203125" bestFit="1" customWidth="1"/>
    <col min="27" max="27" width="10.25" bestFit="1" customWidth="1"/>
    <col min="28" max="28" width="17.58203125" bestFit="1" customWidth="1"/>
    <col min="29" max="29" width="13.33203125" bestFit="1" customWidth="1"/>
  </cols>
  <sheetData>
    <row r="1" spans="1:30" ht="52">
      <c r="A1" s="42" t="s">
        <v>15</v>
      </c>
      <c r="B1" s="43" t="s">
        <v>0</v>
      </c>
      <c r="C1" s="43" t="s">
        <v>1</v>
      </c>
      <c r="D1" s="44" t="s">
        <v>2</v>
      </c>
      <c r="E1" s="44" t="s">
        <v>3</v>
      </c>
      <c r="F1" s="45" t="s">
        <v>4</v>
      </c>
      <c r="G1" s="43" t="s">
        <v>16</v>
      </c>
      <c r="H1" s="43" t="s">
        <v>37</v>
      </c>
      <c r="I1" s="42" t="s">
        <v>17</v>
      </c>
      <c r="J1" s="42" t="s">
        <v>62</v>
      </c>
      <c r="K1" s="42" t="s">
        <v>18</v>
      </c>
      <c r="L1" s="45" t="s">
        <v>19</v>
      </c>
      <c r="M1" s="42" t="s">
        <v>20</v>
      </c>
      <c r="N1" s="42" t="s">
        <v>21</v>
      </c>
      <c r="O1" s="42" t="s">
        <v>22</v>
      </c>
      <c r="P1" s="42" t="s">
        <v>23</v>
      </c>
      <c r="Q1" s="43" t="s">
        <v>24</v>
      </c>
      <c r="R1" s="43" t="s">
        <v>25</v>
      </c>
      <c r="S1" s="43" t="s">
        <v>26</v>
      </c>
      <c r="T1" s="43" t="s">
        <v>27</v>
      </c>
      <c r="U1" s="43" t="s">
        <v>28</v>
      </c>
      <c r="V1" s="43" t="s">
        <v>29</v>
      </c>
      <c r="W1" s="43" t="s">
        <v>30</v>
      </c>
      <c r="X1" s="43" t="s">
        <v>31</v>
      </c>
      <c r="Y1" s="43" t="s">
        <v>32</v>
      </c>
      <c r="Z1" s="43" t="s">
        <v>33</v>
      </c>
      <c r="AA1" s="43" t="s">
        <v>34</v>
      </c>
      <c r="AB1" s="43" t="s">
        <v>35</v>
      </c>
      <c r="AC1" s="43" t="s">
        <v>36</v>
      </c>
    </row>
    <row r="2" spans="1:30">
      <c r="A2" s="64" t="s">
        <v>476</v>
      </c>
      <c r="B2" s="156" t="s">
        <v>515</v>
      </c>
      <c r="C2" s="158" t="s">
        <v>992</v>
      </c>
      <c r="D2" s="64"/>
      <c r="E2" s="64"/>
      <c r="F2" s="64"/>
      <c r="G2" s="64"/>
      <c r="H2" s="65">
        <v>100</v>
      </c>
      <c r="I2" s="64">
        <f>+H2</f>
        <v>100</v>
      </c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49">
        <f t="shared" ref="AB2:AB33" si="0">SUM(I2:AA2)</f>
        <v>100</v>
      </c>
      <c r="AC2" s="49">
        <f t="shared" ref="AC2:AC65" si="1">+AB2-H2</f>
        <v>0</v>
      </c>
    </row>
    <row r="3" spans="1:30">
      <c r="A3" s="157" t="s">
        <v>476</v>
      </c>
      <c r="B3" s="157" t="s">
        <v>987</v>
      </c>
      <c r="C3" s="159" t="s">
        <v>986</v>
      </c>
      <c r="D3" s="64"/>
      <c r="E3" s="64"/>
      <c r="F3" s="64"/>
      <c r="G3" s="64"/>
      <c r="H3" s="65">
        <v>200</v>
      </c>
      <c r="I3" s="64">
        <f>+H3</f>
        <v>200</v>
      </c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49">
        <f t="shared" si="0"/>
        <v>200</v>
      </c>
      <c r="AC3" s="49">
        <f t="shared" si="1"/>
        <v>0</v>
      </c>
    </row>
    <row r="4" spans="1:30">
      <c r="A4" s="64" t="s">
        <v>476</v>
      </c>
      <c r="B4" s="64" t="s">
        <v>987</v>
      </c>
      <c r="C4" s="64" t="s">
        <v>988</v>
      </c>
      <c r="D4" s="64"/>
      <c r="E4" s="64"/>
      <c r="F4" s="64"/>
      <c r="G4" s="64"/>
      <c r="H4" s="65">
        <v>200</v>
      </c>
      <c r="I4" s="64">
        <f>+H4</f>
        <v>200</v>
      </c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49">
        <f t="shared" si="0"/>
        <v>200</v>
      </c>
      <c r="AC4" s="49">
        <f t="shared" si="1"/>
        <v>0</v>
      </c>
    </row>
    <row r="5" spans="1:30">
      <c r="A5" s="64" t="s">
        <v>476</v>
      </c>
      <c r="B5" s="64" t="s">
        <v>914</v>
      </c>
      <c r="C5" s="64" t="s">
        <v>993</v>
      </c>
      <c r="D5" s="64"/>
      <c r="E5" s="64"/>
      <c r="F5" s="64"/>
      <c r="G5" s="64"/>
      <c r="H5" s="65">
        <v>200</v>
      </c>
      <c r="I5" s="64">
        <f>+H5</f>
        <v>200</v>
      </c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49">
        <f t="shared" si="0"/>
        <v>200</v>
      </c>
      <c r="AC5" s="49">
        <f t="shared" si="1"/>
        <v>0</v>
      </c>
    </row>
    <row r="6" spans="1:30">
      <c r="A6" s="64" t="s">
        <v>476</v>
      </c>
      <c r="B6" s="64" t="s">
        <v>987</v>
      </c>
      <c r="C6" s="64" t="s">
        <v>989</v>
      </c>
      <c r="D6" s="64"/>
      <c r="E6" s="64"/>
      <c r="F6" s="64"/>
      <c r="G6" s="64"/>
      <c r="H6" s="65">
        <v>30000</v>
      </c>
      <c r="I6" s="64"/>
      <c r="J6" s="64"/>
      <c r="K6" s="64"/>
      <c r="L6" s="64"/>
      <c r="M6" s="64"/>
      <c r="N6" s="64"/>
      <c r="O6" s="64"/>
      <c r="P6" s="64">
        <v>30000</v>
      </c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49">
        <f t="shared" si="0"/>
        <v>30000</v>
      </c>
      <c r="AC6" s="49">
        <f t="shared" si="1"/>
        <v>0</v>
      </c>
    </row>
    <row r="7" spans="1:30">
      <c r="A7" s="64" t="s">
        <v>476</v>
      </c>
      <c r="B7" s="64" t="s">
        <v>156</v>
      </c>
      <c r="C7" s="64" t="s">
        <v>157</v>
      </c>
      <c r="D7" s="64">
        <v>4545.45</v>
      </c>
      <c r="E7" s="64">
        <v>50000</v>
      </c>
      <c r="F7" s="64">
        <f>+E7-D7</f>
        <v>45454.55</v>
      </c>
      <c r="G7" s="64" t="s">
        <v>8</v>
      </c>
      <c r="H7" s="65">
        <f>+E7</f>
        <v>50000</v>
      </c>
      <c r="I7" s="65">
        <f>+H7</f>
        <v>50000</v>
      </c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49">
        <f t="shared" si="0"/>
        <v>50000</v>
      </c>
      <c r="AC7" s="49">
        <f t="shared" si="1"/>
        <v>0</v>
      </c>
      <c r="AD7" t="s">
        <v>743</v>
      </c>
    </row>
    <row r="8" spans="1:30">
      <c r="A8" s="64" t="s">
        <v>476</v>
      </c>
      <c r="B8" s="64" t="s">
        <v>156</v>
      </c>
      <c r="C8" s="64" t="s">
        <v>157</v>
      </c>
      <c r="D8" s="64">
        <v>5090.91</v>
      </c>
      <c r="E8" s="64">
        <v>56000</v>
      </c>
      <c r="F8" s="64">
        <f>+E8-D8</f>
        <v>50909.09</v>
      </c>
      <c r="G8" s="64" t="s">
        <v>8</v>
      </c>
      <c r="H8" s="65">
        <f>+E8</f>
        <v>56000</v>
      </c>
      <c r="I8" s="65">
        <f>+H8</f>
        <v>56000</v>
      </c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49">
        <f t="shared" si="0"/>
        <v>56000</v>
      </c>
      <c r="AC8" s="49">
        <f t="shared" si="1"/>
        <v>0</v>
      </c>
      <c r="AD8" t="s">
        <v>743</v>
      </c>
    </row>
    <row r="9" spans="1:30">
      <c r="A9" s="64" t="s">
        <v>476</v>
      </c>
      <c r="B9" s="64" t="s">
        <v>97</v>
      </c>
      <c r="C9" s="64" t="s">
        <v>98</v>
      </c>
      <c r="D9" s="64">
        <v>18000</v>
      </c>
      <c r="E9" s="64">
        <v>198000</v>
      </c>
      <c r="F9" s="64">
        <f>+E9-D9</f>
        <v>180000</v>
      </c>
      <c r="G9" s="64" t="s">
        <v>8</v>
      </c>
      <c r="H9" s="65">
        <f>+E9</f>
        <v>198000</v>
      </c>
      <c r="I9" s="64"/>
      <c r="J9" s="64"/>
      <c r="K9" s="64"/>
      <c r="L9" s="64"/>
      <c r="M9" s="64"/>
      <c r="N9" s="64"/>
      <c r="O9" s="65">
        <f>+H9</f>
        <v>198000</v>
      </c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49">
        <f t="shared" si="0"/>
        <v>198000</v>
      </c>
      <c r="AC9" s="49">
        <f t="shared" si="1"/>
        <v>0</v>
      </c>
      <c r="AD9" t="s">
        <v>743</v>
      </c>
    </row>
    <row r="10" spans="1:30">
      <c r="A10" s="64" t="s">
        <v>476</v>
      </c>
      <c r="B10" s="64" t="s">
        <v>314</v>
      </c>
      <c r="C10" s="64" t="s">
        <v>315</v>
      </c>
      <c r="D10" s="64">
        <v>31972.909091000001</v>
      </c>
      <c r="E10" s="64">
        <v>351702</v>
      </c>
      <c r="F10" s="64">
        <f>+E10-D10</f>
        <v>319729.09090900002</v>
      </c>
      <c r="G10" s="64" t="s">
        <v>8</v>
      </c>
      <c r="H10" s="65">
        <f>+E10</f>
        <v>351702</v>
      </c>
      <c r="I10" s="64"/>
      <c r="J10" s="64"/>
      <c r="K10" s="65">
        <f>+H10</f>
        <v>351702</v>
      </c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49">
        <f t="shared" si="0"/>
        <v>351702</v>
      </c>
      <c r="AC10" s="49">
        <f t="shared" si="1"/>
        <v>0</v>
      </c>
      <c r="AD10" t="s">
        <v>743</v>
      </c>
    </row>
    <row r="11" spans="1:30">
      <c r="A11" s="64" t="s">
        <v>476</v>
      </c>
      <c r="B11" s="64" t="s">
        <v>59</v>
      </c>
      <c r="C11" s="64" t="s">
        <v>60</v>
      </c>
      <c r="D11" s="64">
        <v>0</v>
      </c>
      <c r="E11" s="64">
        <v>1744508.02</v>
      </c>
      <c r="F11" s="64">
        <f>+E11-D11</f>
        <v>1744508.02</v>
      </c>
      <c r="G11" s="64" t="s">
        <v>55</v>
      </c>
      <c r="H11" s="65">
        <f>+E11</f>
        <v>1744508.02</v>
      </c>
      <c r="I11" s="64"/>
      <c r="J11" s="65">
        <f>+H11</f>
        <v>1744508.02</v>
      </c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49">
        <f t="shared" si="0"/>
        <v>1744508.02</v>
      </c>
      <c r="AC11" s="49">
        <f t="shared" si="1"/>
        <v>0</v>
      </c>
      <c r="AD11" t="s">
        <v>743</v>
      </c>
    </row>
    <row r="12" spans="1:30">
      <c r="A12" s="64" t="s">
        <v>476</v>
      </c>
      <c r="B12" s="64" t="s">
        <v>991</v>
      </c>
      <c r="C12" s="64" t="s">
        <v>990</v>
      </c>
      <c r="D12" s="64"/>
      <c r="E12" s="64"/>
      <c r="F12" s="64"/>
      <c r="G12" s="64"/>
      <c r="H12" s="65">
        <v>4289850</v>
      </c>
      <c r="I12" s="64"/>
      <c r="J12" s="64">
        <f>H12</f>
        <v>4289850</v>
      </c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49">
        <f t="shared" si="0"/>
        <v>4289850</v>
      </c>
      <c r="AC12" s="49">
        <f t="shared" si="1"/>
        <v>0</v>
      </c>
    </row>
    <row r="13" spans="1:30">
      <c r="A13" s="64" t="s">
        <v>475</v>
      </c>
      <c r="B13" s="64" t="s">
        <v>156</v>
      </c>
      <c r="C13" s="64" t="s">
        <v>157</v>
      </c>
      <c r="D13" s="64">
        <v>9090.91</v>
      </c>
      <c r="E13" s="64">
        <v>100000</v>
      </c>
      <c r="F13" s="64">
        <f>+E13-D13</f>
        <v>90909.09</v>
      </c>
      <c r="G13" s="64" t="s">
        <v>8</v>
      </c>
      <c r="H13" s="65">
        <f>+E13</f>
        <v>100000</v>
      </c>
      <c r="I13" s="65">
        <f>+H13</f>
        <v>100000</v>
      </c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49">
        <f t="shared" si="0"/>
        <v>100000</v>
      </c>
      <c r="AC13" s="49">
        <f t="shared" si="1"/>
        <v>0</v>
      </c>
      <c r="AD13" t="s">
        <v>743</v>
      </c>
    </row>
    <row r="14" spans="1:30">
      <c r="A14" s="64" t="s">
        <v>472</v>
      </c>
      <c r="B14" s="64" t="s">
        <v>103</v>
      </c>
      <c r="C14" s="64" t="s">
        <v>104</v>
      </c>
      <c r="D14" s="64">
        <v>6818.18</v>
      </c>
      <c r="E14" s="64">
        <v>75000</v>
      </c>
      <c r="F14" s="64">
        <f>+E14-D14</f>
        <v>68181.820000000007</v>
      </c>
      <c r="G14" s="64" t="s">
        <v>8</v>
      </c>
      <c r="H14" s="65">
        <f>+E14</f>
        <v>75000</v>
      </c>
      <c r="I14" s="65">
        <f>+H14</f>
        <v>75000</v>
      </c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49">
        <f t="shared" si="0"/>
        <v>75000</v>
      </c>
      <c r="AC14" s="49">
        <f t="shared" si="1"/>
        <v>0</v>
      </c>
      <c r="AD14" t="s">
        <v>743</v>
      </c>
    </row>
    <row r="15" spans="1:30">
      <c r="A15" s="64" t="s">
        <v>472</v>
      </c>
      <c r="B15" s="64" t="s">
        <v>473</v>
      </c>
      <c r="C15" s="64" t="s">
        <v>474</v>
      </c>
      <c r="D15" s="64">
        <v>238803.571428</v>
      </c>
      <c r="E15" s="64">
        <v>2674600</v>
      </c>
      <c r="F15" s="64">
        <f>+E15-D15</f>
        <v>2435796.428572</v>
      </c>
      <c r="G15" s="64" t="s">
        <v>8</v>
      </c>
      <c r="H15" s="65">
        <f>+E15</f>
        <v>2674600</v>
      </c>
      <c r="I15" s="64"/>
      <c r="J15" s="64"/>
      <c r="K15" s="64"/>
      <c r="L15" s="64"/>
      <c r="M15" s="64"/>
      <c r="N15" s="64"/>
      <c r="O15" s="65">
        <f>+H15</f>
        <v>2674600</v>
      </c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49">
        <f t="shared" si="0"/>
        <v>2674600</v>
      </c>
      <c r="AC15" s="49">
        <f t="shared" si="1"/>
        <v>0</v>
      </c>
      <c r="AD15" t="s">
        <v>743</v>
      </c>
    </row>
    <row r="16" spans="1:30">
      <c r="A16" s="64" t="s">
        <v>467</v>
      </c>
      <c r="B16" s="64" t="s">
        <v>995</v>
      </c>
      <c r="C16" s="64" t="s">
        <v>994</v>
      </c>
      <c r="D16" s="64"/>
      <c r="E16" s="64"/>
      <c r="F16" s="64"/>
      <c r="G16" s="64"/>
      <c r="H16" s="65">
        <v>200</v>
      </c>
      <c r="I16" s="64">
        <f t="shared" ref="I16:I22" si="2">+H16</f>
        <v>200</v>
      </c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49">
        <f t="shared" si="0"/>
        <v>200</v>
      </c>
      <c r="AC16" s="49">
        <f t="shared" si="1"/>
        <v>0</v>
      </c>
    </row>
    <row r="17" spans="1:30">
      <c r="A17" s="64" t="s">
        <v>467</v>
      </c>
      <c r="B17" s="64" t="s">
        <v>998</v>
      </c>
      <c r="C17" s="64" t="s">
        <v>997</v>
      </c>
      <c r="D17" s="64"/>
      <c r="E17" s="64"/>
      <c r="F17" s="64"/>
      <c r="G17" s="64"/>
      <c r="H17" s="65">
        <v>200</v>
      </c>
      <c r="I17" s="64">
        <f t="shared" si="2"/>
        <v>200</v>
      </c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49">
        <f t="shared" si="0"/>
        <v>200</v>
      </c>
      <c r="AC17" s="49">
        <f t="shared" si="1"/>
        <v>0</v>
      </c>
    </row>
    <row r="18" spans="1:30">
      <c r="A18" s="64" t="s">
        <v>467</v>
      </c>
      <c r="B18" s="64" t="s">
        <v>1001</v>
      </c>
      <c r="C18" s="64" t="s">
        <v>1000</v>
      </c>
      <c r="D18" s="64"/>
      <c r="E18" s="64"/>
      <c r="F18" s="64"/>
      <c r="G18" s="64"/>
      <c r="H18" s="65">
        <v>200</v>
      </c>
      <c r="I18" s="64">
        <f t="shared" si="2"/>
        <v>200</v>
      </c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49">
        <f t="shared" si="0"/>
        <v>200</v>
      </c>
      <c r="AC18" s="49">
        <f t="shared" si="1"/>
        <v>0</v>
      </c>
    </row>
    <row r="19" spans="1:30">
      <c r="A19" s="64" t="s">
        <v>467</v>
      </c>
      <c r="B19" s="64" t="s">
        <v>1001</v>
      </c>
      <c r="C19" s="64" t="s">
        <v>1002</v>
      </c>
      <c r="D19" s="64"/>
      <c r="E19" s="64"/>
      <c r="F19" s="64"/>
      <c r="G19" s="64"/>
      <c r="H19" s="65">
        <v>200</v>
      </c>
      <c r="I19" s="64">
        <f t="shared" si="2"/>
        <v>200</v>
      </c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49">
        <f t="shared" si="0"/>
        <v>200</v>
      </c>
      <c r="AC19" s="49">
        <f t="shared" si="1"/>
        <v>0</v>
      </c>
    </row>
    <row r="20" spans="1:30">
      <c r="A20" s="64" t="s">
        <v>467</v>
      </c>
      <c r="B20" s="64" t="s">
        <v>1001</v>
      </c>
      <c r="C20" s="64" t="s">
        <v>1003</v>
      </c>
      <c r="D20" s="64"/>
      <c r="E20" s="64"/>
      <c r="F20" s="64"/>
      <c r="G20" s="64"/>
      <c r="H20" s="65">
        <v>200</v>
      </c>
      <c r="I20" s="64">
        <f t="shared" si="2"/>
        <v>200</v>
      </c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49">
        <f t="shared" si="0"/>
        <v>200</v>
      </c>
      <c r="AC20" s="49">
        <f t="shared" si="1"/>
        <v>0</v>
      </c>
    </row>
    <row r="21" spans="1:30">
      <c r="A21" s="64" t="s">
        <v>467</v>
      </c>
      <c r="B21" s="64" t="s">
        <v>1001</v>
      </c>
      <c r="C21" s="64" t="s">
        <v>1004</v>
      </c>
      <c r="D21" s="64"/>
      <c r="E21" s="64"/>
      <c r="F21" s="64"/>
      <c r="G21" s="64"/>
      <c r="H21" s="65">
        <v>200</v>
      </c>
      <c r="I21" s="64">
        <f t="shared" si="2"/>
        <v>200</v>
      </c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49">
        <f t="shared" si="0"/>
        <v>200</v>
      </c>
      <c r="AC21" s="49">
        <f t="shared" si="1"/>
        <v>0</v>
      </c>
    </row>
    <row r="22" spans="1:30">
      <c r="A22" s="64" t="s">
        <v>467</v>
      </c>
      <c r="B22" s="64" t="s">
        <v>1001</v>
      </c>
      <c r="C22" s="64" t="s">
        <v>1005</v>
      </c>
      <c r="D22" s="64"/>
      <c r="E22" s="64"/>
      <c r="F22" s="64"/>
      <c r="G22" s="64"/>
      <c r="H22" s="65">
        <v>200</v>
      </c>
      <c r="I22" s="64">
        <f t="shared" si="2"/>
        <v>200</v>
      </c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49">
        <f t="shared" si="0"/>
        <v>200</v>
      </c>
      <c r="AC22" s="49">
        <f t="shared" si="1"/>
        <v>0</v>
      </c>
    </row>
    <row r="23" spans="1:30">
      <c r="A23" s="64" t="s">
        <v>467</v>
      </c>
      <c r="B23" s="64" t="s">
        <v>468</v>
      </c>
      <c r="C23" s="64" t="s">
        <v>469</v>
      </c>
      <c r="D23" s="64">
        <v>318.18181800000002</v>
      </c>
      <c r="E23" s="64">
        <v>3500</v>
      </c>
      <c r="F23" s="64">
        <f>+E23-D23</f>
        <v>3181.818182</v>
      </c>
      <c r="G23" s="64" t="s">
        <v>8</v>
      </c>
      <c r="H23" s="65">
        <f>+E23</f>
        <v>3500</v>
      </c>
      <c r="I23" s="64"/>
      <c r="J23" s="64"/>
      <c r="K23" s="65">
        <f>+H23</f>
        <v>3500</v>
      </c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49">
        <f t="shared" si="0"/>
        <v>3500</v>
      </c>
      <c r="AC23" s="49">
        <f t="shared" si="1"/>
        <v>0</v>
      </c>
      <c r="AD23" t="s">
        <v>743</v>
      </c>
    </row>
    <row r="24" spans="1:30">
      <c r="A24" s="64" t="s">
        <v>467</v>
      </c>
      <c r="B24" s="64" t="s">
        <v>998</v>
      </c>
      <c r="C24" s="64" t="s">
        <v>999</v>
      </c>
      <c r="D24" s="64"/>
      <c r="E24" s="64"/>
      <c r="F24" s="64"/>
      <c r="G24" s="64"/>
      <c r="H24" s="65">
        <v>3500</v>
      </c>
      <c r="I24" s="64">
        <v>3500</v>
      </c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49">
        <f t="shared" si="0"/>
        <v>3500</v>
      </c>
      <c r="AC24" s="49">
        <f t="shared" si="1"/>
        <v>0</v>
      </c>
    </row>
    <row r="25" spans="1:30">
      <c r="A25" s="64" t="s">
        <v>467</v>
      </c>
      <c r="B25" s="64" t="s">
        <v>304</v>
      </c>
      <c r="C25" s="64" t="s">
        <v>305</v>
      </c>
      <c r="D25" s="64">
        <v>9090.91</v>
      </c>
      <c r="E25" s="64">
        <v>100000</v>
      </c>
      <c r="F25" s="64">
        <f>+E25-D25</f>
        <v>90909.09</v>
      </c>
      <c r="G25" s="64" t="s">
        <v>8</v>
      </c>
      <c r="H25" s="65">
        <f>+E25</f>
        <v>100000</v>
      </c>
      <c r="I25" s="65">
        <f>+H25</f>
        <v>100000</v>
      </c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49">
        <f t="shared" si="0"/>
        <v>100000</v>
      </c>
      <c r="AC25" s="49">
        <f t="shared" si="1"/>
        <v>0</v>
      </c>
      <c r="AD25" t="s">
        <v>743</v>
      </c>
    </row>
    <row r="26" spans="1:30">
      <c r="A26" s="64" t="s">
        <v>467</v>
      </c>
      <c r="B26" s="64" t="s">
        <v>470</v>
      </c>
      <c r="C26" s="64" t="s">
        <v>471</v>
      </c>
      <c r="D26" s="64">
        <v>0</v>
      </c>
      <c r="E26" s="64">
        <v>121500</v>
      </c>
      <c r="F26" s="64">
        <f>+E26-D26</f>
        <v>121500</v>
      </c>
      <c r="G26" s="64" t="s">
        <v>8</v>
      </c>
      <c r="H26" s="65">
        <f>+E26</f>
        <v>121500</v>
      </c>
      <c r="I26" s="64"/>
      <c r="J26" s="64"/>
      <c r="K26" s="64"/>
      <c r="L26" s="64"/>
      <c r="M26" s="64"/>
      <c r="N26" s="64"/>
      <c r="O26" s="65">
        <f>+H26</f>
        <v>121500</v>
      </c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49">
        <f t="shared" si="0"/>
        <v>121500</v>
      </c>
      <c r="AC26" s="49">
        <f t="shared" si="1"/>
        <v>0</v>
      </c>
      <c r="AD26" t="s">
        <v>743</v>
      </c>
    </row>
    <row r="27" spans="1:30">
      <c r="A27" s="64" t="s">
        <v>467</v>
      </c>
      <c r="B27" s="64" t="s">
        <v>995</v>
      </c>
      <c r="C27" s="64" t="s">
        <v>996</v>
      </c>
      <c r="D27" s="64"/>
      <c r="E27" s="64"/>
      <c r="F27" s="64"/>
      <c r="G27" s="64"/>
      <c r="H27" s="65">
        <v>500000</v>
      </c>
      <c r="I27" s="64"/>
      <c r="J27" s="64"/>
      <c r="K27" s="64"/>
      <c r="L27" s="64"/>
      <c r="M27" s="64"/>
      <c r="N27" s="64">
        <v>500000</v>
      </c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49">
        <f t="shared" si="0"/>
        <v>500000</v>
      </c>
      <c r="AC27" s="49">
        <f t="shared" si="1"/>
        <v>0</v>
      </c>
    </row>
    <row r="28" spans="1:30">
      <c r="A28" s="64" t="s">
        <v>462</v>
      </c>
      <c r="B28" s="64" t="s">
        <v>1007</v>
      </c>
      <c r="C28" s="64" t="s">
        <v>1006</v>
      </c>
      <c r="D28" s="64"/>
      <c r="E28" s="64"/>
      <c r="F28" s="64"/>
      <c r="G28" s="64"/>
      <c r="H28" s="65">
        <v>200</v>
      </c>
      <c r="I28" s="64">
        <f t="shared" ref="I28:I43" si="3">+H28</f>
        <v>200</v>
      </c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49">
        <f t="shared" si="0"/>
        <v>200</v>
      </c>
      <c r="AC28" s="49">
        <f t="shared" si="1"/>
        <v>0</v>
      </c>
    </row>
    <row r="29" spans="1:30">
      <c r="A29" s="64" t="s">
        <v>462</v>
      </c>
      <c r="B29" s="64" t="s">
        <v>1009</v>
      </c>
      <c r="C29" s="64" t="s">
        <v>1008</v>
      </c>
      <c r="D29" s="64"/>
      <c r="E29" s="64"/>
      <c r="F29" s="64"/>
      <c r="G29" s="64"/>
      <c r="H29" s="65">
        <v>200</v>
      </c>
      <c r="I29" s="64">
        <f t="shared" si="3"/>
        <v>200</v>
      </c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49">
        <f t="shared" si="0"/>
        <v>200</v>
      </c>
      <c r="AC29" s="49">
        <f t="shared" si="1"/>
        <v>0</v>
      </c>
    </row>
    <row r="30" spans="1:30">
      <c r="A30" s="64" t="s">
        <v>462</v>
      </c>
      <c r="B30" s="64" t="s">
        <v>1012</v>
      </c>
      <c r="C30" s="64" t="s">
        <v>1011</v>
      </c>
      <c r="D30" s="64"/>
      <c r="E30" s="64"/>
      <c r="F30" s="64"/>
      <c r="G30" s="64"/>
      <c r="H30" s="65">
        <v>200</v>
      </c>
      <c r="I30" s="64">
        <f t="shared" si="3"/>
        <v>200</v>
      </c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49">
        <f t="shared" si="0"/>
        <v>200</v>
      </c>
      <c r="AC30" s="49">
        <f t="shared" si="1"/>
        <v>0</v>
      </c>
    </row>
    <row r="31" spans="1:30">
      <c r="A31" s="64" t="s">
        <v>462</v>
      </c>
      <c r="B31" s="64" t="s">
        <v>991</v>
      </c>
      <c r="C31" s="64" t="s">
        <v>1014</v>
      </c>
      <c r="D31" s="64"/>
      <c r="E31" s="64"/>
      <c r="F31" s="64"/>
      <c r="G31" s="64"/>
      <c r="H31" s="65">
        <v>200</v>
      </c>
      <c r="I31" s="64">
        <f t="shared" si="3"/>
        <v>200</v>
      </c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49">
        <f t="shared" si="0"/>
        <v>200</v>
      </c>
      <c r="AC31" s="49">
        <f t="shared" si="1"/>
        <v>0</v>
      </c>
    </row>
    <row r="32" spans="1:30">
      <c r="A32" s="64" t="s">
        <v>462</v>
      </c>
      <c r="B32" s="64" t="s">
        <v>1017</v>
      </c>
      <c r="C32" s="64" t="s">
        <v>1016</v>
      </c>
      <c r="D32" s="64"/>
      <c r="E32" s="64"/>
      <c r="F32" s="64"/>
      <c r="G32" s="64"/>
      <c r="H32" s="65">
        <v>200</v>
      </c>
      <c r="I32" s="64">
        <f t="shared" si="3"/>
        <v>200</v>
      </c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49">
        <f t="shared" si="0"/>
        <v>200</v>
      </c>
      <c r="AC32" s="49">
        <f t="shared" si="1"/>
        <v>0</v>
      </c>
    </row>
    <row r="33" spans="1:30">
      <c r="A33" s="64" t="s">
        <v>462</v>
      </c>
      <c r="B33" s="64" t="s">
        <v>1020</v>
      </c>
      <c r="C33" s="64" t="s">
        <v>1019</v>
      </c>
      <c r="D33" s="64"/>
      <c r="E33" s="64"/>
      <c r="F33" s="64"/>
      <c r="G33" s="64"/>
      <c r="H33" s="65">
        <v>200</v>
      </c>
      <c r="I33" s="64">
        <f t="shared" si="3"/>
        <v>200</v>
      </c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49">
        <f t="shared" si="0"/>
        <v>200</v>
      </c>
      <c r="AC33" s="49">
        <f t="shared" si="1"/>
        <v>0</v>
      </c>
    </row>
    <row r="34" spans="1:30">
      <c r="A34" s="64" t="s">
        <v>462</v>
      </c>
      <c r="B34" s="64" t="s">
        <v>1022</v>
      </c>
      <c r="C34" s="64" t="s">
        <v>1021</v>
      </c>
      <c r="D34" s="64"/>
      <c r="E34" s="64"/>
      <c r="F34" s="64"/>
      <c r="G34" s="64"/>
      <c r="H34" s="65">
        <v>200</v>
      </c>
      <c r="I34" s="64">
        <f t="shared" si="3"/>
        <v>200</v>
      </c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49">
        <f t="shared" ref="AB34:AB61" si="4">SUM(I34:AA34)</f>
        <v>200</v>
      </c>
      <c r="AC34" s="49">
        <f t="shared" si="1"/>
        <v>0</v>
      </c>
    </row>
    <row r="35" spans="1:30">
      <c r="A35" s="64" t="s">
        <v>462</v>
      </c>
      <c r="B35" s="64" t="s">
        <v>1024</v>
      </c>
      <c r="C35" s="64" t="s">
        <v>1023</v>
      </c>
      <c r="D35" s="64"/>
      <c r="E35" s="64"/>
      <c r="F35" s="64"/>
      <c r="G35" s="64"/>
      <c r="H35" s="65">
        <v>200</v>
      </c>
      <c r="I35" s="64">
        <f t="shared" si="3"/>
        <v>200</v>
      </c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49">
        <f t="shared" si="4"/>
        <v>200</v>
      </c>
      <c r="AC35" s="49">
        <f t="shared" si="1"/>
        <v>0</v>
      </c>
    </row>
    <row r="36" spans="1:30">
      <c r="A36" s="64" t="s">
        <v>462</v>
      </c>
      <c r="B36" s="64" t="s">
        <v>1026</v>
      </c>
      <c r="C36" s="64" t="s">
        <v>1025</v>
      </c>
      <c r="D36" s="64"/>
      <c r="E36" s="64"/>
      <c r="F36" s="64"/>
      <c r="G36" s="64"/>
      <c r="H36" s="65">
        <v>200</v>
      </c>
      <c r="I36" s="64">
        <f t="shared" si="3"/>
        <v>200</v>
      </c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49">
        <f t="shared" si="4"/>
        <v>200</v>
      </c>
      <c r="AC36" s="49">
        <f t="shared" si="1"/>
        <v>0</v>
      </c>
    </row>
    <row r="37" spans="1:30">
      <c r="A37" s="64" t="s">
        <v>462</v>
      </c>
      <c r="B37" s="64" t="s">
        <v>1028</v>
      </c>
      <c r="C37" s="64" t="s">
        <v>1027</v>
      </c>
      <c r="D37" s="64"/>
      <c r="E37" s="64"/>
      <c r="F37" s="64"/>
      <c r="G37" s="64"/>
      <c r="H37" s="65">
        <v>200</v>
      </c>
      <c r="I37" s="64">
        <f t="shared" si="3"/>
        <v>200</v>
      </c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49">
        <f t="shared" si="4"/>
        <v>200</v>
      </c>
      <c r="AC37" s="49">
        <f t="shared" si="1"/>
        <v>0</v>
      </c>
    </row>
    <row r="38" spans="1:30">
      <c r="A38" s="64" t="s">
        <v>462</v>
      </c>
      <c r="B38" s="64" t="s">
        <v>1030</v>
      </c>
      <c r="C38" s="64" t="s">
        <v>1029</v>
      </c>
      <c r="D38" s="64"/>
      <c r="E38" s="64"/>
      <c r="F38" s="64"/>
      <c r="G38" s="64"/>
      <c r="H38" s="65">
        <v>200</v>
      </c>
      <c r="I38" s="64">
        <f t="shared" si="3"/>
        <v>200</v>
      </c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49">
        <f t="shared" si="4"/>
        <v>200</v>
      </c>
      <c r="AC38" s="49">
        <f t="shared" si="1"/>
        <v>0</v>
      </c>
    </row>
    <row r="39" spans="1:30">
      <c r="A39" s="64" t="s">
        <v>462</v>
      </c>
      <c r="B39" s="64" t="s">
        <v>1032</v>
      </c>
      <c r="C39" s="64" t="s">
        <v>1031</v>
      </c>
      <c r="D39" s="64"/>
      <c r="E39" s="64"/>
      <c r="F39" s="64"/>
      <c r="G39" s="64"/>
      <c r="H39" s="65">
        <v>200</v>
      </c>
      <c r="I39" s="64">
        <f t="shared" si="3"/>
        <v>200</v>
      </c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49">
        <f t="shared" si="4"/>
        <v>200</v>
      </c>
      <c r="AC39" s="49">
        <f t="shared" si="1"/>
        <v>0</v>
      </c>
    </row>
    <row r="40" spans="1:30">
      <c r="A40" s="64" t="s">
        <v>462</v>
      </c>
      <c r="B40" s="64" t="s">
        <v>1034</v>
      </c>
      <c r="C40" s="64" t="s">
        <v>1033</v>
      </c>
      <c r="D40" s="64"/>
      <c r="E40" s="64"/>
      <c r="F40" s="64"/>
      <c r="G40" s="64"/>
      <c r="H40" s="65">
        <v>200</v>
      </c>
      <c r="I40" s="64">
        <f t="shared" si="3"/>
        <v>200</v>
      </c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49">
        <f t="shared" si="4"/>
        <v>200</v>
      </c>
      <c r="AC40" s="49">
        <f t="shared" si="1"/>
        <v>0</v>
      </c>
    </row>
    <row r="41" spans="1:30">
      <c r="A41" s="64" t="s">
        <v>462</v>
      </c>
      <c r="B41" s="64" t="s">
        <v>1036</v>
      </c>
      <c r="C41" s="64" t="s">
        <v>1035</v>
      </c>
      <c r="D41" s="64"/>
      <c r="E41" s="64"/>
      <c r="F41" s="64"/>
      <c r="G41" s="64"/>
      <c r="H41" s="65">
        <v>200</v>
      </c>
      <c r="I41" s="64">
        <f t="shared" si="3"/>
        <v>200</v>
      </c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49">
        <f t="shared" si="4"/>
        <v>200</v>
      </c>
      <c r="AC41" s="49">
        <f t="shared" si="1"/>
        <v>0</v>
      </c>
    </row>
    <row r="42" spans="1:30">
      <c r="A42" s="64" t="s">
        <v>462</v>
      </c>
      <c r="B42" s="64" t="s">
        <v>1038</v>
      </c>
      <c r="C42" s="64" t="s">
        <v>1037</v>
      </c>
      <c r="D42" s="64"/>
      <c r="E42" s="64"/>
      <c r="F42" s="64"/>
      <c r="G42" s="64"/>
      <c r="H42" s="65">
        <v>200</v>
      </c>
      <c r="I42" s="64">
        <f t="shared" si="3"/>
        <v>200</v>
      </c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49">
        <f t="shared" si="4"/>
        <v>200</v>
      </c>
      <c r="AC42" s="49">
        <f t="shared" si="1"/>
        <v>0</v>
      </c>
    </row>
    <row r="43" spans="1:30">
      <c r="A43" s="64" t="s">
        <v>462</v>
      </c>
      <c r="B43" s="64" t="s">
        <v>1040</v>
      </c>
      <c r="C43" s="64" t="s">
        <v>1039</v>
      </c>
      <c r="D43" s="64"/>
      <c r="E43" s="64"/>
      <c r="F43" s="64"/>
      <c r="G43" s="64"/>
      <c r="H43" s="65">
        <v>200</v>
      </c>
      <c r="I43" s="64">
        <f t="shared" si="3"/>
        <v>200</v>
      </c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49">
        <f t="shared" si="4"/>
        <v>200</v>
      </c>
      <c r="AC43" s="49">
        <f t="shared" si="1"/>
        <v>0</v>
      </c>
    </row>
    <row r="44" spans="1:30">
      <c r="A44" s="64" t="s">
        <v>462</v>
      </c>
      <c r="B44" s="64" t="s">
        <v>1009</v>
      </c>
      <c r="C44" s="64" t="s">
        <v>1010</v>
      </c>
      <c r="D44" s="64"/>
      <c r="E44" s="64"/>
      <c r="F44" s="64"/>
      <c r="G44" s="64"/>
      <c r="H44" s="65">
        <v>15000</v>
      </c>
      <c r="I44" s="64"/>
      <c r="J44" s="64"/>
      <c r="K44" s="64"/>
      <c r="L44" s="64"/>
      <c r="M44" s="64"/>
      <c r="N44" s="64">
        <v>15000</v>
      </c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49">
        <f t="shared" si="4"/>
        <v>15000</v>
      </c>
      <c r="AC44" s="49">
        <f t="shared" si="1"/>
        <v>0</v>
      </c>
    </row>
    <row r="45" spans="1:30">
      <c r="A45" s="64" t="s">
        <v>462</v>
      </c>
      <c r="B45" s="64" t="s">
        <v>463</v>
      </c>
      <c r="C45" s="64" t="s">
        <v>464</v>
      </c>
      <c r="D45" s="64">
        <v>2152.91</v>
      </c>
      <c r="E45" s="64">
        <v>23682</v>
      </c>
      <c r="F45" s="64">
        <f t="shared" ref="F45:F50" si="5">+E45-D45</f>
        <v>21529.09</v>
      </c>
      <c r="G45" s="64" t="s">
        <v>8</v>
      </c>
      <c r="H45" s="65">
        <f t="shared" ref="H45:H50" si="6">+E45</f>
        <v>23682</v>
      </c>
      <c r="I45" s="64"/>
      <c r="J45" s="64"/>
      <c r="K45" s="65">
        <f>+H45</f>
        <v>23682</v>
      </c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49">
        <f t="shared" si="4"/>
        <v>23682</v>
      </c>
      <c r="AC45" s="49">
        <f t="shared" si="1"/>
        <v>0</v>
      </c>
      <c r="AD45" t="s">
        <v>743</v>
      </c>
    </row>
    <row r="46" spans="1:30">
      <c r="A46" s="64" t="s">
        <v>462</v>
      </c>
      <c r="B46" s="64" t="s">
        <v>103</v>
      </c>
      <c r="C46" s="64" t="s">
        <v>104</v>
      </c>
      <c r="D46" s="64">
        <v>2363.64</v>
      </c>
      <c r="E46" s="64">
        <v>26000</v>
      </c>
      <c r="F46" s="64">
        <f t="shared" si="5"/>
        <v>23636.36</v>
      </c>
      <c r="G46" s="64" t="s">
        <v>8</v>
      </c>
      <c r="H46" s="65">
        <f t="shared" si="6"/>
        <v>26000</v>
      </c>
      <c r="I46" s="64"/>
      <c r="J46" s="64"/>
      <c r="K46" s="64"/>
      <c r="L46" s="64"/>
      <c r="M46" s="64"/>
      <c r="N46" s="64"/>
      <c r="O46" s="64"/>
      <c r="P46" s="64">
        <v>26000</v>
      </c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49">
        <f t="shared" si="4"/>
        <v>26000</v>
      </c>
      <c r="AC46" s="49">
        <f t="shared" si="1"/>
        <v>0</v>
      </c>
      <c r="AD46" t="s">
        <v>743</v>
      </c>
    </row>
    <row r="47" spans="1:30">
      <c r="A47" s="64" t="s">
        <v>462</v>
      </c>
      <c r="B47" s="64" t="s">
        <v>103</v>
      </c>
      <c r="C47" s="64" t="s">
        <v>104</v>
      </c>
      <c r="D47" s="64">
        <v>3027.27</v>
      </c>
      <c r="E47" s="64">
        <v>33300</v>
      </c>
      <c r="F47" s="64">
        <f t="shared" si="5"/>
        <v>30272.73</v>
      </c>
      <c r="G47" s="64" t="s">
        <v>8</v>
      </c>
      <c r="H47" s="65">
        <f t="shared" si="6"/>
        <v>33300</v>
      </c>
      <c r="I47" s="65">
        <f>+H47</f>
        <v>33300</v>
      </c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49">
        <f t="shared" si="4"/>
        <v>33300</v>
      </c>
      <c r="AC47" s="49">
        <f t="shared" si="1"/>
        <v>0</v>
      </c>
      <c r="AD47" t="s">
        <v>743</v>
      </c>
    </row>
    <row r="48" spans="1:30">
      <c r="A48" s="64" t="s">
        <v>462</v>
      </c>
      <c r="B48" s="64" t="s">
        <v>245</v>
      </c>
      <c r="C48" s="64" t="s">
        <v>246</v>
      </c>
      <c r="D48" s="64">
        <v>6493.18</v>
      </c>
      <c r="E48" s="64">
        <v>71425</v>
      </c>
      <c r="F48" s="64">
        <f t="shared" si="5"/>
        <v>64931.82</v>
      </c>
      <c r="G48" s="64" t="s">
        <v>8</v>
      </c>
      <c r="H48" s="65">
        <f t="shared" si="6"/>
        <v>71425</v>
      </c>
      <c r="I48" s="65">
        <f>+H48</f>
        <v>71425</v>
      </c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49">
        <f t="shared" si="4"/>
        <v>71425</v>
      </c>
      <c r="AC48" s="49">
        <f t="shared" si="1"/>
        <v>0</v>
      </c>
      <c r="AD48" t="s">
        <v>743</v>
      </c>
    </row>
    <row r="49" spans="1:30">
      <c r="A49" s="64" t="s">
        <v>462</v>
      </c>
      <c r="B49" s="64" t="s">
        <v>247</v>
      </c>
      <c r="C49" s="64" t="s">
        <v>248</v>
      </c>
      <c r="D49" s="64">
        <v>7765.45</v>
      </c>
      <c r="E49" s="64">
        <v>85420</v>
      </c>
      <c r="F49" s="64">
        <f t="shared" si="5"/>
        <v>77654.55</v>
      </c>
      <c r="G49" s="64" t="s">
        <v>8</v>
      </c>
      <c r="H49" s="65">
        <f t="shared" si="6"/>
        <v>85420</v>
      </c>
      <c r="I49" s="64"/>
      <c r="J49" s="64"/>
      <c r="K49" s="65">
        <f>+H49</f>
        <v>85420</v>
      </c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49">
        <f t="shared" si="4"/>
        <v>85420</v>
      </c>
      <c r="AC49" s="49">
        <f t="shared" si="1"/>
        <v>0</v>
      </c>
      <c r="AD49" t="s">
        <v>743</v>
      </c>
    </row>
    <row r="50" spans="1:30">
      <c r="A50" s="64" t="s">
        <v>462</v>
      </c>
      <c r="B50" s="64" t="s">
        <v>465</v>
      </c>
      <c r="C50" s="64" t="s">
        <v>466</v>
      </c>
      <c r="D50" s="64">
        <v>0</v>
      </c>
      <c r="E50" s="64">
        <v>225150</v>
      </c>
      <c r="F50" s="64">
        <f t="shared" si="5"/>
        <v>225150</v>
      </c>
      <c r="G50" s="64" t="s">
        <v>8</v>
      </c>
      <c r="H50" s="65">
        <f t="shared" si="6"/>
        <v>225150</v>
      </c>
      <c r="I50" s="64"/>
      <c r="J50" s="64"/>
      <c r="K50" s="64"/>
      <c r="L50" s="64"/>
      <c r="M50" s="65">
        <f>+H50</f>
        <v>225150</v>
      </c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49">
        <f t="shared" si="4"/>
        <v>225150</v>
      </c>
      <c r="AC50" s="49">
        <f t="shared" si="1"/>
        <v>0</v>
      </c>
      <c r="AD50" t="s">
        <v>743</v>
      </c>
    </row>
    <row r="51" spans="1:30">
      <c r="A51" s="64" t="s">
        <v>462</v>
      </c>
      <c r="B51" s="64" t="s">
        <v>991</v>
      </c>
      <c r="C51" s="64" t="s">
        <v>1015</v>
      </c>
      <c r="D51" s="64"/>
      <c r="E51" s="64"/>
      <c r="F51" s="64"/>
      <c r="G51" s="64"/>
      <c r="H51" s="65">
        <v>580000</v>
      </c>
      <c r="I51" s="64"/>
      <c r="J51" s="64">
        <v>580000</v>
      </c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49">
        <f t="shared" si="4"/>
        <v>580000</v>
      </c>
      <c r="AC51" s="49">
        <f t="shared" si="1"/>
        <v>0</v>
      </c>
    </row>
    <row r="52" spans="1:30">
      <c r="A52" s="64" t="s">
        <v>462</v>
      </c>
      <c r="B52" s="64" t="s">
        <v>1012</v>
      </c>
      <c r="C52" s="64" t="s">
        <v>1013</v>
      </c>
      <c r="D52" s="64"/>
      <c r="E52" s="64"/>
      <c r="F52" s="64"/>
      <c r="G52" s="64"/>
      <c r="H52" s="65">
        <v>750000</v>
      </c>
      <c r="I52" s="64"/>
      <c r="J52" s="64"/>
      <c r="K52" s="64">
        <v>750000</v>
      </c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49">
        <f t="shared" si="4"/>
        <v>750000</v>
      </c>
      <c r="AC52" s="49">
        <f t="shared" si="1"/>
        <v>0</v>
      </c>
    </row>
    <row r="53" spans="1:30">
      <c r="A53" s="64" t="s">
        <v>462</v>
      </c>
      <c r="B53" s="64" t="s">
        <v>1017</v>
      </c>
      <c r="C53" s="64" t="s">
        <v>1018</v>
      </c>
      <c r="D53" s="64"/>
      <c r="E53" s="64"/>
      <c r="F53" s="64"/>
      <c r="G53" s="64"/>
      <c r="H53" s="65">
        <v>3160000</v>
      </c>
      <c r="I53" s="64"/>
      <c r="J53" s="64">
        <v>3160000</v>
      </c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49">
        <f t="shared" si="4"/>
        <v>3160000</v>
      </c>
      <c r="AC53" s="49">
        <f t="shared" si="1"/>
        <v>0</v>
      </c>
    </row>
    <row r="54" spans="1:30">
      <c r="A54" s="64" t="s">
        <v>461</v>
      </c>
      <c r="B54" s="64" t="s">
        <v>943</v>
      </c>
      <c r="C54" s="64" t="s">
        <v>1041</v>
      </c>
      <c r="D54" s="64"/>
      <c r="E54" s="64"/>
      <c r="F54" s="64"/>
      <c r="G54" s="64"/>
      <c r="H54" s="65">
        <v>200</v>
      </c>
      <c r="I54" s="64">
        <f>+H54</f>
        <v>200</v>
      </c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49">
        <f t="shared" si="4"/>
        <v>200</v>
      </c>
      <c r="AC54" s="49">
        <f t="shared" si="1"/>
        <v>0</v>
      </c>
    </row>
    <row r="55" spans="1:30">
      <c r="A55" s="64" t="s">
        <v>461</v>
      </c>
      <c r="B55" s="64" t="s">
        <v>1043</v>
      </c>
      <c r="C55" s="64" t="s">
        <v>1042</v>
      </c>
      <c r="D55" s="64"/>
      <c r="E55" s="64"/>
      <c r="F55" s="64"/>
      <c r="G55" s="64"/>
      <c r="H55" s="65">
        <v>200</v>
      </c>
      <c r="I55" s="64">
        <f>+H55</f>
        <v>200</v>
      </c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49">
        <f t="shared" si="4"/>
        <v>200</v>
      </c>
      <c r="AC55" s="49">
        <f t="shared" si="1"/>
        <v>0</v>
      </c>
    </row>
    <row r="56" spans="1:30">
      <c r="A56" s="64" t="s">
        <v>461</v>
      </c>
      <c r="B56" s="64" t="s">
        <v>247</v>
      </c>
      <c r="C56" s="64" t="s">
        <v>248</v>
      </c>
      <c r="D56" s="64">
        <v>2000</v>
      </c>
      <c r="E56" s="64">
        <v>22000</v>
      </c>
      <c r="F56" s="64">
        <f t="shared" ref="F56:F63" si="7">+E56-D56</f>
        <v>20000</v>
      </c>
      <c r="G56" s="64" t="s">
        <v>8</v>
      </c>
      <c r="H56" s="65">
        <f t="shared" ref="H56:H63" si="8">+E56</f>
        <v>22000</v>
      </c>
      <c r="I56" s="64"/>
      <c r="J56" s="64"/>
      <c r="K56" s="84"/>
      <c r="L56" s="64"/>
      <c r="M56" s="65">
        <f>+H56</f>
        <v>22000</v>
      </c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49">
        <f t="shared" si="4"/>
        <v>22000</v>
      </c>
      <c r="AC56" s="49">
        <f t="shared" si="1"/>
        <v>0</v>
      </c>
      <c r="AD56" t="s">
        <v>743</v>
      </c>
    </row>
    <row r="57" spans="1:30">
      <c r="A57" s="64" t="s">
        <v>461</v>
      </c>
      <c r="B57" s="64" t="s">
        <v>249</v>
      </c>
      <c r="C57" s="64" t="s">
        <v>250</v>
      </c>
      <c r="D57" s="64">
        <v>19550</v>
      </c>
      <c r="E57" s="64">
        <v>215050</v>
      </c>
      <c r="F57" s="64">
        <f t="shared" si="7"/>
        <v>195500</v>
      </c>
      <c r="G57" s="64" t="s">
        <v>8</v>
      </c>
      <c r="H57" s="65">
        <f t="shared" si="8"/>
        <v>215050</v>
      </c>
      <c r="I57" s="64"/>
      <c r="J57" s="64"/>
      <c r="K57" s="64"/>
      <c r="L57" s="64"/>
      <c r="M57" s="65">
        <f>+H57</f>
        <v>215050</v>
      </c>
      <c r="N57" s="64"/>
      <c r="O57" s="65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49">
        <f t="shared" si="4"/>
        <v>215050</v>
      </c>
      <c r="AC57" s="49">
        <f t="shared" si="1"/>
        <v>0</v>
      </c>
      <c r="AD57" t="s">
        <v>743</v>
      </c>
    </row>
    <row r="58" spans="1:30">
      <c r="A58" s="64" t="s">
        <v>454</v>
      </c>
      <c r="B58" s="64" t="s">
        <v>103</v>
      </c>
      <c r="C58" s="64" t="s">
        <v>104</v>
      </c>
      <c r="D58" s="64">
        <v>363.64</v>
      </c>
      <c r="E58" s="64">
        <v>4000</v>
      </c>
      <c r="F58" s="64">
        <f t="shared" si="7"/>
        <v>3636.36</v>
      </c>
      <c r="G58" s="64" t="s">
        <v>8</v>
      </c>
      <c r="H58" s="65">
        <f t="shared" si="8"/>
        <v>4000</v>
      </c>
      <c r="I58" s="65">
        <f>+H58</f>
        <v>4000</v>
      </c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49">
        <f t="shared" si="4"/>
        <v>4000</v>
      </c>
      <c r="AC58" s="49">
        <f t="shared" si="1"/>
        <v>0</v>
      </c>
      <c r="AD58" t="s">
        <v>743</v>
      </c>
    </row>
    <row r="59" spans="1:30">
      <c r="A59" s="64" t="s">
        <v>454</v>
      </c>
      <c r="B59" s="64" t="s">
        <v>457</v>
      </c>
      <c r="C59" s="64" t="s">
        <v>458</v>
      </c>
      <c r="D59" s="64">
        <v>0</v>
      </c>
      <c r="E59" s="64">
        <v>76500</v>
      </c>
      <c r="F59" s="64">
        <f t="shared" si="7"/>
        <v>76500</v>
      </c>
      <c r="G59" s="64" t="s">
        <v>8</v>
      </c>
      <c r="H59" s="65">
        <f t="shared" si="8"/>
        <v>76500</v>
      </c>
      <c r="I59" s="64"/>
      <c r="J59" s="64"/>
      <c r="K59" s="64"/>
      <c r="L59" s="64"/>
      <c r="M59" s="65">
        <f>+H59</f>
        <v>76500</v>
      </c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49">
        <f t="shared" si="4"/>
        <v>76500</v>
      </c>
      <c r="AC59" s="49">
        <f t="shared" si="1"/>
        <v>0</v>
      </c>
      <c r="AD59" t="s">
        <v>743</v>
      </c>
    </row>
    <row r="60" spans="1:30">
      <c r="A60" s="64" t="s">
        <v>454</v>
      </c>
      <c r="B60" s="64" t="s">
        <v>457</v>
      </c>
      <c r="C60" s="64" t="s">
        <v>458</v>
      </c>
      <c r="D60" s="64">
        <v>0</v>
      </c>
      <c r="E60" s="64">
        <v>76500</v>
      </c>
      <c r="F60" s="64">
        <f t="shared" si="7"/>
        <v>76500</v>
      </c>
      <c r="G60" s="64" t="s">
        <v>8</v>
      </c>
      <c r="H60" s="65">
        <f t="shared" si="8"/>
        <v>76500</v>
      </c>
      <c r="I60" s="64"/>
      <c r="J60" s="64"/>
      <c r="K60" s="64"/>
      <c r="L60" s="64"/>
      <c r="M60" s="65">
        <f>+H60</f>
        <v>76500</v>
      </c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49">
        <f t="shared" si="4"/>
        <v>76500</v>
      </c>
      <c r="AC60" s="49">
        <f t="shared" si="1"/>
        <v>0</v>
      </c>
      <c r="AD60" t="s">
        <v>743</v>
      </c>
    </row>
    <row r="61" spans="1:30">
      <c r="A61" s="64" t="s">
        <v>454</v>
      </c>
      <c r="B61" s="64" t="s">
        <v>455</v>
      </c>
      <c r="C61" s="64" t="s">
        <v>456</v>
      </c>
      <c r="D61" s="64">
        <v>0</v>
      </c>
      <c r="E61" s="64">
        <v>114000</v>
      </c>
      <c r="F61" s="64">
        <f t="shared" si="7"/>
        <v>114000</v>
      </c>
      <c r="G61" s="64" t="s">
        <v>8</v>
      </c>
      <c r="H61" s="65">
        <f t="shared" si="8"/>
        <v>114000</v>
      </c>
      <c r="I61" s="64"/>
      <c r="J61" s="64"/>
      <c r="K61" s="64"/>
      <c r="L61" s="64"/>
      <c r="M61" s="64"/>
      <c r="N61" s="65">
        <f>+H61</f>
        <v>114000</v>
      </c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49">
        <f t="shared" si="4"/>
        <v>114000</v>
      </c>
      <c r="AC61" s="49">
        <f t="shared" si="1"/>
        <v>0</v>
      </c>
      <c r="AD61" t="s">
        <v>743</v>
      </c>
    </row>
    <row r="62" spans="1:30">
      <c r="A62" s="64" t="s">
        <v>454</v>
      </c>
      <c r="B62" s="64" t="s">
        <v>94</v>
      </c>
      <c r="C62" s="64" t="s">
        <v>95</v>
      </c>
      <c r="D62" s="64">
        <v>12263.64</v>
      </c>
      <c r="E62" s="64">
        <v>134900</v>
      </c>
      <c r="F62" s="64">
        <f t="shared" si="7"/>
        <v>122636.36</v>
      </c>
      <c r="G62" s="64" t="s">
        <v>8</v>
      </c>
      <c r="H62" s="65">
        <f t="shared" si="8"/>
        <v>134900</v>
      </c>
      <c r="I62" s="84"/>
      <c r="J62" s="64"/>
      <c r="K62" s="64"/>
      <c r="L62" s="64"/>
      <c r="M62" s="64"/>
      <c r="N62" s="64"/>
      <c r="O62" s="65"/>
      <c r="P62" s="65">
        <f>+H62</f>
        <v>134900</v>
      </c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49">
        <f>SUM(J62:AA62)</f>
        <v>134900</v>
      </c>
      <c r="AC62" s="49">
        <f t="shared" si="1"/>
        <v>0</v>
      </c>
      <c r="AD62" t="s">
        <v>743</v>
      </c>
    </row>
    <row r="63" spans="1:30">
      <c r="A63" s="64" t="s">
        <v>454</v>
      </c>
      <c r="B63" s="64" t="s">
        <v>459</v>
      </c>
      <c r="C63" s="64" t="s">
        <v>460</v>
      </c>
      <c r="D63" s="64">
        <v>30527.27</v>
      </c>
      <c r="E63" s="64">
        <v>335800</v>
      </c>
      <c r="F63" s="64">
        <f t="shared" si="7"/>
        <v>305272.73</v>
      </c>
      <c r="G63" s="64" t="s">
        <v>8</v>
      </c>
      <c r="H63" s="65">
        <f t="shared" si="8"/>
        <v>335800</v>
      </c>
      <c r="I63" s="64"/>
      <c r="J63" s="64"/>
      <c r="K63" s="65">
        <f>+H63</f>
        <v>335800</v>
      </c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49">
        <f t="shared" ref="AB63:AB94" si="9">SUM(I63:AA63)</f>
        <v>335800</v>
      </c>
      <c r="AC63" s="49">
        <f t="shared" si="1"/>
        <v>0</v>
      </c>
      <c r="AD63" t="s">
        <v>743</v>
      </c>
    </row>
    <row r="64" spans="1:30">
      <c r="A64" s="64" t="s">
        <v>447</v>
      </c>
      <c r="B64" s="64" t="s">
        <v>1045</v>
      </c>
      <c r="C64" s="64" t="s">
        <v>1044</v>
      </c>
      <c r="D64" s="64"/>
      <c r="E64" s="64"/>
      <c r="F64" s="64"/>
      <c r="G64" s="64"/>
      <c r="H64" s="65">
        <v>200</v>
      </c>
      <c r="I64" s="64">
        <f>+H64</f>
        <v>200</v>
      </c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49">
        <f t="shared" si="9"/>
        <v>200</v>
      </c>
      <c r="AC64" s="49">
        <f t="shared" si="1"/>
        <v>0</v>
      </c>
    </row>
    <row r="65" spans="1:30">
      <c r="A65" s="64" t="s">
        <v>447</v>
      </c>
      <c r="B65" s="64" t="s">
        <v>1047</v>
      </c>
      <c r="C65" s="64" t="s">
        <v>1046</v>
      </c>
      <c r="D65" s="64"/>
      <c r="E65" s="64"/>
      <c r="F65" s="64"/>
      <c r="G65" s="64"/>
      <c r="H65" s="65">
        <v>200</v>
      </c>
      <c r="I65" s="64">
        <f>+H65</f>
        <v>200</v>
      </c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49">
        <f t="shared" si="9"/>
        <v>200</v>
      </c>
      <c r="AC65" s="49">
        <f t="shared" si="1"/>
        <v>0</v>
      </c>
    </row>
    <row r="66" spans="1:30">
      <c r="A66" s="64" t="s">
        <v>447</v>
      </c>
      <c r="B66" s="64" t="s">
        <v>1047</v>
      </c>
      <c r="C66" s="64" t="s">
        <v>1049</v>
      </c>
      <c r="D66" s="64"/>
      <c r="E66" s="64"/>
      <c r="F66" s="64"/>
      <c r="G66" s="64"/>
      <c r="H66" s="65">
        <v>200</v>
      </c>
      <c r="I66" s="64">
        <f>+H66</f>
        <v>200</v>
      </c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49">
        <f t="shared" si="9"/>
        <v>200</v>
      </c>
      <c r="AC66" s="49">
        <f t="shared" ref="AC66:AC129" si="10">+AB66-H66</f>
        <v>0</v>
      </c>
    </row>
    <row r="67" spans="1:30">
      <c r="A67" s="64" t="s">
        <v>447</v>
      </c>
      <c r="B67" s="64" t="s">
        <v>1026</v>
      </c>
      <c r="C67" s="64" t="s">
        <v>1050</v>
      </c>
      <c r="D67" s="64"/>
      <c r="E67" s="64"/>
      <c r="F67" s="64"/>
      <c r="G67" s="64"/>
      <c r="H67" s="65">
        <v>200</v>
      </c>
      <c r="I67" s="64">
        <f>+H67</f>
        <v>200</v>
      </c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49">
        <f t="shared" si="9"/>
        <v>200</v>
      </c>
      <c r="AC67" s="49">
        <f t="shared" si="10"/>
        <v>0</v>
      </c>
    </row>
    <row r="68" spans="1:30">
      <c r="A68" s="64" t="s">
        <v>447</v>
      </c>
      <c r="B68" s="64" t="s">
        <v>452</v>
      </c>
      <c r="C68" s="64" t="s">
        <v>453</v>
      </c>
      <c r="D68" s="64">
        <v>6000</v>
      </c>
      <c r="E68" s="64">
        <v>66000</v>
      </c>
      <c r="F68" s="64">
        <f>+E68-D68</f>
        <v>60000</v>
      </c>
      <c r="G68" s="64" t="s">
        <v>8</v>
      </c>
      <c r="H68" s="65">
        <f>+E68</f>
        <v>66000</v>
      </c>
      <c r="I68" s="64"/>
      <c r="J68" s="64"/>
      <c r="K68" s="64"/>
      <c r="L68" s="64"/>
      <c r="M68" s="65">
        <f>+H68</f>
        <v>66000</v>
      </c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49">
        <f t="shared" si="9"/>
        <v>66000</v>
      </c>
      <c r="AC68" s="49">
        <f t="shared" si="10"/>
        <v>0</v>
      </c>
      <c r="AD68" t="s">
        <v>743</v>
      </c>
    </row>
    <row r="69" spans="1:30">
      <c r="A69" s="64" t="s">
        <v>447</v>
      </c>
      <c r="B69" s="64" t="s">
        <v>448</v>
      </c>
      <c r="C69" s="64" t="s">
        <v>449</v>
      </c>
      <c r="D69" s="64">
        <v>12000</v>
      </c>
      <c r="E69" s="64">
        <v>132000</v>
      </c>
      <c r="F69" s="64">
        <f>+E69-D69</f>
        <v>120000</v>
      </c>
      <c r="G69" s="64" t="s">
        <v>8</v>
      </c>
      <c r="H69" s="65">
        <f>+E69</f>
        <v>132000</v>
      </c>
      <c r="I69" s="64"/>
      <c r="J69" s="64"/>
      <c r="K69" s="64"/>
      <c r="L69" s="64"/>
      <c r="M69" s="64"/>
      <c r="N69" s="64"/>
      <c r="O69" s="65">
        <f>+H69</f>
        <v>132000</v>
      </c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49">
        <f t="shared" si="9"/>
        <v>132000</v>
      </c>
      <c r="AC69" s="49">
        <f t="shared" si="10"/>
        <v>0</v>
      </c>
      <c r="AD69" t="s">
        <v>743</v>
      </c>
    </row>
    <row r="70" spans="1:30">
      <c r="A70" s="64" t="s">
        <v>447</v>
      </c>
      <c r="B70" s="64" t="s">
        <v>87</v>
      </c>
      <c r="C70" s="64" t="s">
        <v>88</v>
      </c>
      <c r="D70" s="64">
        <v>15069.09</v>
      </c>
      <c r="E70" s="64">
        <v>165760</v>
      </c>
      <c r="F70" s="64">
        <f>+E70-D70</f>
        <v>150690.91</v>
      </c>
      <c r="G70" s="64" t="s">
        <v>8</v>
      </c>
      <c r="H70" s="65">
        <f>+E70</f>
        <v>165760</v>
      </c>
      <c r="I70" s="65">
        <f>+H70</f>
        <v>165760</v>
      </c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49">
        <f t="shared" si="9"/>
        <v>165760</v>
      </c>
      <c r="AC70" s="49">
        <f t="shared" si="10"/>
        <v>0</v>
      </c>
      <c r="AD70" t="s">
        <v>743</v>
      </c>
    </row>
    <row r="71" spans="1:30">
      <c r="A71" s="64" t="s">
        <v>447</v>
      </c>
      <c r="B71" s="64" t="s">
        <v>1026</v>
      </c>
      <c r="C71" s="64" t="s">
        <v>1051</v>
      </c>
      <c r="D71" s="64"/>
      <c r="E71" s="64"/>
      <c r="F71" s="64"/>
      <c r="G71" s="64"/>
      <c r="H71" s="65">
        <v>350000</v>
      </c>
      <c r="I71" s="64"/>
      <c r="J71" s="64"/>
      <c r="K71" s="64"/>
      <c r="L71" s="64"/>
      <c r="M71" s="64">
        <v>350000</v>
      </c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49">
        <f t="shared" si="9"/>
        <v>350000</v>
      </c>
      <c r="AC71" s="49">
        <f t="shared" si="10"/>
        <v>0</v>
      </c>
    </row>
    <row r="72" spans="1:30">
      <c r="A72" s="64" t="s">
        <v>447</v>
      </c>
      <c r="B72" s="64" t="s">
        <v>450</v>
      </c>
      <c r="C72" s="64" t="s">
        <v>451</v>
      </c>
      <c r="D72" s="64">
        <v>45000</v>
      </c>
      <c r="E72" s="64">
        <v>495000</v>
      </c>
      <c r="F72" s="64">
        <f>+E72-D72</f>
        <v>450000</v>
      </c>
      <c r="G72" s="64" t="s">
        <v>8</v>
      </c>
      <c r="H72" s="65">
        <f>+E72</f>
        <v>495000</v>
      </c>
      <c r="I72" s="64"/>
      <c r="J72" s="64"/>
      <c r="K72" s="64"/>
      <c r="L72" s="64"/>
      <c r="M72" s="65">
        <f>+H72</f>
        <v>495000</v>
      </c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49">
        <f t="shared" si="9"/>
        <v>495000</v>
      </c>
      <c r="AC72" s="49">
        <f t="shared" si="10"/>
        <v>0</v>
      </c>
      <c r="AD72" t="s">
        <v>743</v>
      </c>
    </row>
    <row r="73" spans="1:30">
      <c r="A73" s="64" t="s">
        <v>447</v>
      </c>
      <c r="B73" s="64" t="s">
        <v>450</v>
      </c>
      <c r="C73" s="64" t="s">
        <v>451</v>
      </c>
      <c r="D73" s="64">
        <v>58450</v>
      </c>
      <c r="E73" s="64">
        <v>642950</v>
      </c>
      <c r="F73" s="64">
        <f>+E73-D73</f>
        <v>584500</v>
      </c>
      <c r="G73" s="64" t="s">
        <v>8</v>
      </c>
      <c r="H73" s="65">
        <f>+E73</f>
        <v>642950</v>
      </c>
      <c r="I73" s="64"/>
      <c r="J73" s="64"/>
      <c r="K73" s="64"/>
      <c r="L73" s="64"/>
      <c r="M73" s="64"/>
      <c r="N73" s="64"/>
      <c r="O73" s="65">
        <f>+H73</f>
        <v>642950</v>
      </c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49">
        <f t="shared" si="9"/>
        <v>642950</v>
      </c>
      <c r="AC73" s="49">
        <f t="shared" si="10"/>
        <v>0</v>
      </c>
      <c r="AD73" t="s">
        <v>743</v>
      </c>
    </row>
    <row r="74" spans="1:30">
      <c r="A74" s="64" t="s">
        <v>447</v>
      </c>
      <c r="B74" s="64" t="s">
        <v>448</v>
      </c>
      <c r="C74" s="64" t="s">
        <v>449</v>
      </c>
      <c r="D74" s="64">
        <v>73500</v>
      </c>
      <c r="E74" s="64">
        <v>808500</v>
      </c>
      <c r="F74" s="64">
        <f>+E74-D74</f>
        <v>735000</v>
      </c>
      <c r="G74" s="64" t="s">
        <v>8</v>
      </c>
      <c r="H74" s="65">
        <f>+E74</f>
        <v>808500</v>
      </c>
      <c r="I74" s="64"/>
      <c r="J74" s="64"/>
      <c r="K74" s="64"/>
      <c r="L74" s="64"/>
      <c r="M74" s="64"/>
      <c r="N74" s="64"/>
      <c r="O74" s="65">
        <f>+H74</f>
        <v>808500</v>
      </c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49">
        <f t="shared" si="9"/>
        <v>808500</v>
      </c>
      <c r="AC74" s="49">
        <f t="shared" si="10"/>
        <v>0</v>
      </c>
      <c r="AD74" t="s">
        <v>743</v>
      </c>
    </row>
    <row r="75" spans="1:30">
      <c r="A75" s="64" t="s">
        <v>447</v>
      </c>
      <c r="B75" s="64" t="s">
        <v>1047</v>
      </c>
      <c r="C75" s="64" t="s">
        <v>1048</v>
      </c>
      <c r="D75" s="64"/>
      <c r="E75" s="64"/>
      <c r="F75" s="64"/>
      <c r="G75" s="64"/>
      <c r="H75" s="65">
        <v>808500</v>
      </c>
      <c r="I75" s="64"/>
      <c r="J75" s="64"/>
      <c r="K75" s="64"/>
      <c r="L75" s="64"/>
      <c r="M75" s="64"/>
      <c r="N75" s="64"/>
      <c r="O75" s="64">
        <v>808500</v>
      </c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49">
        <f t="shared" si="9"/>
        <v>808500</v>
      </c>
      <c r="AC75" s="49">
        <f t="shared" si="10"/>
        <v>0</v>
      </c>
    </row>
    <row r="76" spans="1:30">
      <c r="A76" s="64" t="s">
        <v>447</v>
      </c>
      <c r="B76" s="64" t="s">
        <v>178</v>
      </c>
      <c r="C76" s="64" t="s">
        <v>179</v>
      </c>
      <c r="D76" s="64">
        <v>197727.27</v>
      </c>
      <c r="E76" s="64">
        <v>2175000</v>
      </c>
      <c r="F76" s="64">
        <f>+E76-D76</f>
        <v>1977272.73</v>
      </c>
      <c r="G76" s="64" t="s">
        <v>8</v>
      </c>
      <c r="H76" s="65">
        <f>+E76</f>
        <v>2175000</v>
      </c>
      <c r="I76" s="64"/>
      <c r="J76" s="64"/>
      <c r="K76" s="64"/>
      <c r="L76" s="64"/>
      <c r="M76" s="64"/>
      <c r="N76" s="64"/>
      <c r="O76" s="64"/>
      <c r="P76" s="64"/>
      <c r="Q76" s="65">
        <f>+H76</f>
        <v>2175000</v>
      </c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49">
        <f t="shared" si="9"/>
        <v>2175000</v>
      </c>
      <c r="AC76" s="49">
        <f t="shared" si="10"/>
        <v>0</v>
      </c>
      <c r="AD76" t="s">
        <v>743</v>
      </c>
    </row>
    <row r="77" spans="1:30">
      <c r="A77" s="64" t="s">
        <v>442</v>
      </c>
      <c r="B77" s="64" t="s">
        <v>1053</v>
      </c>
      <c r="C77" s="64" t="s">
        <v>1052</v>
      </c>
      <c r="D77" s="64"/>
      <c r="E77" s="64"/>
      <c r="F77" s="64"/>
      <c r="G77" s="64"/>
      <c r="H77" s="65">
        <v>200</v>
      </c>
      <c r="I77" s="64">
        <f t="shared" ref="I77:I82" si="11">+H77</f>
        <v>200</v>
      </c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49">
        <f t="shared" si="9"/>
        <v>200</v>
      </c>
      <c r="AC77" s="49">
        <f t="shared" si="10"/>
        <v>0</v>
      </c>
    </row>
    <row r="78" spans="1:30">
      <c r="A78" s="64" t="s">
        <v>442</v>
      </c>
      <c r="B78" s="64" t="s">
        <v>1056</v>
      </c>
      <c r="C78" s="64" t="s">
        <v>1055</v>
      </c>
      <c r="D78" s="64"/>
      <c r="E78" s="64"/>
      <c r="F78" s="64"/>
      <c r="G78" s="64"/>
      <c r="H78" s="65">
        <v>200</v>
      </c>
      <c r="I78" s="64">
        <f t="shared" si="11"/>
        <v>200</v>
      </c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49">
        <f t="shared" si="9"/>
        <v>200</v>
      </c>
      <c r="AC78" s="49">
        <f t="shared" si="10"/>
        <v>0</v>
      </c>
    </row>
    <row r="79" spans="1:30">
      <c r="A79" s="64" t="s">
        <v>442</v>
      </c>
      <c r="B79" s="64" t="s">
        <v>1059</v>
      </c>
      <c r="C79" s="64" t="s">
        <v>1058</v>
      </c>
      <c r="D79" s="64"/>
      <c r="E79" s="64"/>
      <c r="F79" s="64"/>
      <c r="G79" s="64"/>
      <c r="H79" s="65">
        <v>200</v>
      </c>
      <c r="I79" s="64">
        <f t="shared" si="11"/>
        <v>200</v>
      </c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49">
        <f t="shared" si="9"/>
        <v>200</v>
      </c>
      <c r="AC79" s="49">
        <f t="shared" si="10"/>
        <v>0</v>
      </c>
    </row>
    <row r="80" spans="1:30">
      <c r="A80" s="64" t="s">
        <v>442</v>
      </c>
      <c r="B80" s="64" t="s">
        <v>1062</v>
      </c>
      <c r="C80" s="64" t="s">
        <v>1061</v>
      </c>
      <c r="D80" s="64"/>
      <c r="E80" s="64"/>
      <c r="F80" s="64"/>
      <c r="G80" s="64"/>
      <c r="H80" s="65">
        <v>200</v>
      </c>
      <c r="I80" s="64">
        <f t="shared" si="11"/>
        <v>200</v>
      </c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49">
        <f t="shared" si="9"/>
        <v>200</v>
      </c>
      <c r="AC80" s="49">
        <f t="shared" si="10"/>
        <v>0</v>
      </c>
    </row>
    <row r="81" spans="1:30">
      <c r="A81" s="64" t="s">
        <v>442</v>
      </c>
      <c r="B81" s="64" t="s">
        <v>128</v>
      </c>
      <c r="C81" s="64" t="s">
        <v>129</v>
      </c>
      <c r="D81" s="64">
        <v>3720.72</v>
      </c>
      <c r="E81" s="64">
        <v>40927.879999999997</v>
      </c>
      <c r="F81" s="64">
        <f>+E81-D81</f>
        <v>37207.159999999996</v>
      </c>
      <c r="G81" s="64" t="s">
        <v>8</v>
      </c>
      <c r="H81" s="65">
        <f>+E81</f>
        <v>40927.879999999997</v>
      </c>
      <c r="I81" s="65">
        <f t="shared" si="11"/>
        <v>40927.879999999997</v>
      </c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49">
        <f t="shared" si="9"/>
        <v>40927.879999999997</v>
      </c>
      <c r="AC81" s="49">
        <f t="shared" si="10"/>
        <v>0</v>
      </c>
      <c r="AD81" t="s">
        <v>743</v>
      </c>
    </row>
    <row r="82" spans="1:30">
      <c r="A82" s="64" t="s">
        <v>442</v>
      </c>
      <c r="B82" s="64" t="s">
        <v>443</v>
      </c>
      <c r="C82" s="64" t="s">
        <v>444</v>
      </c>
      <c r="D82" s="64">
        <v>6336.36</v>
      </c>
      <c r="E82" s="64">
        <v>69700</v>
      </c>
      <c r="F82" s="64">
        <f>+E82-D82</f>
        <v>63363.64</v>
      </c>
      <c r="G82" s="64" t="s">
        <v>8</v>
      </c>
      <c r="H82" s="65">
        <f>+E82</f>
        <v>69700</v>
      </c>
      <c r="I82" s="65">
        <f t="shared" si="11"/>
        <v>69700</v>
      </c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49">
        <f t="shared" si="9"/>
        <v>69700</v>
      </c>
      <c r="AC82" s="49">
        <f t="shared" si="10"/>
        <v>0</v>
      </c>
      <c r="AD82" t="s">
        <v>743</v>
      </c>
    </row>
    <row r="83" spans="1:30">
      <c r="A83" s="64" t="s">
        <v>442</v>
      </c>
      <c r="B83" s="64" t="s">
        <v>1059</v>
      </c>
      <c r="C83" s="64" t="s">
        <v>1060</v>
      </c>
      <c r="D83" s="64"/>
      <c r="E83" s="64"/>
      <c r="F83" s="64"/>
      <c r="G83" s="64"/>
      <c r="H83" s="65">
        <v>148400</v>
      </c>
      <c r="I83" s="64"/>
      <c r="J83" s="64">
        <v>148400</v>
      </c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49">
        <f t="shared" si="9"/>
        <v>148400</v>
      </c>
      <c r="AC83" s="49">
        <f t="shared" si="10"/>
        <v>0</v>
      </c>
    </row>
    <row r="84" spans="1:30">
      <c r="A84" s="64" t="s">
        <v>442</v>
      </c>
      <c r="B84" s="64" t="s">
        <v>1056</v>
      </c>
      <c r="C84" s="64" t="s">
        <v>1057</v>
      </c>
      <c r="D84" s="64"/>
      <c r="E84" s="64"/>
      <c r="F84" s="64"/>
      <c r="G84" s="64"/>
      <c r="H84" s="65">
        <v>410850</v>
      </c>
      <c r="I84" s="64"/>
      <c r="J84" s="64"/>
      <c r="K84" s="64"/>
      <c r="L84" s="64"/>
      <c r="M84" s="64">
        <v>410850</v>
      </c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49">
        <f t="shared" si="9"/>
        <v>410850</v>
      </c>
      <c r="AC84" s="49">
        <f t="shared" si="10"/>
        <v>0</v>
      </c>
    </row>
    <row r="85" spans="1:30">
      <c r="A85" s="64" t="s">
        <v>442</v>
      </c>
      <c r="B85" s="64" t="s">
        <v>1053</v>
      </c>
      <c r="C85" s="64" t="s">
        <v>1054</v>
      </c>
      <c r="D85" s="64"/>
      <c r="E85" s="64"/>
      <c r="F85" s="64"/>
      <c r="G85" s="64"/>
      <c r="H85" s="65">
        <v>450000</v>
      </c>
      <c r="I85" s="64"/>
      <c r="J85" s="64"/>
      <c r="K85" s="64"/>
      <c r="L85" s="64"/>
      <c r="M85" s="64"/>
      <c r="N85" s="64"/>
      <c r="O85" s="64">
        <v>450000</v>
      </c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49">
        <f t="shared" si="9"/>
        <v>450000</v>
      </c>
      <c r="AC85" s="49">
        <f t="shared" si="10"/>
        <v>0</v>
      </c>
    </row>
    <row r="86" spans="1:30">
      <c r="A86" s="64" t="s">
        <v>442</v>
      </c>
      <c r="B86" s="64" t="s">
        <v>445</v>
      </c>
      <c r="C86" s="64" t="s">
        <v>446</v>
      </c>
      <c r="D86" s="64">
        <v>0</v>
      </c>
      <c r="E86" s="64">
        <v>655400</v>
      </c>
      <c r="F86" s="64">
        <f>+E86-D86</f>
        <v>655400</v>
      </c>
      <c r="G86" s="64" t="s">
        <v>477</v>
      </c>
      <c r="H86" s="65">
        <f>+E86</f>
        <v>655400</v>
      </c>
      <c r="I86" s="65">
        <f>+H86</f>
        <v>655400</v>
      </c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49">
        <f t="shared" si="9"/>
        <v>655400</v>
      </c>
      <c r="AC86" s="49">
        <f t="shared" si="10"/>
        <v>0</v>
      </c>
      <c r="AD86" t="s">
        <v>743</v>
      </c>
    </row>
    <row r="87" spans="1:30">
      <c r="A87" s="64" t="s">
        <v>442</v>
      </c>
      <c r="B87" s="64" t="s">
        <v>445</v>
      </c>
      <c r="C87" s="64" t="s">
        <v>446</v>
      </c>
      <c r="D87" s="64">
        <v>0</v>
      </c>
      <c r="E87" s="64">
        <v>655400.59</v>
      </c>
      <c r="F87" s="64">
        <f>+E87-D87</f>
        <v>655400.59</v>
      </c>
      <c r="G87" s="64" t="s">
        <v>477</v>
      </c>
      <c r="H87" s="65">
        <f>+E87</f>
        <v>655400.59</v>
      </c>
      <c r="I87" s="65">
        <f>+H87</f>
        <v>655400.59</v>
      </c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49">
        <f t="shared" si="9"/>
        <v>655400.59</v>
      </c>
      <c r="AC87" s="49">
        <f t="shared" si="10"/>
        <v>0</v>
      </c>
      <c r="AD87" t="s">
        <v>743</v>
      </c>
    </row>
    <row r="88" spans="1:30">
      <c r="A88" s="64" t="s">
        <v>442</v>
      </c>
      <c r="B88" s="64" t="s">
        <v>1062</v>
      </c>
      <c r="C88" s="64" t="s">
        <v>1063</v>
      </c>
      <c r="D88" s="64"/>
      <c r="E88" s="64"/>
      <c r="F88" s="64"/>
      <c r="G88" s="64"/>
      <c r="H88" s="65">
        <v>800000</v>
      </c>
      <c r="I88" s="64"/>
      <c r="J88" s="64"/>
      <c r="K88" s="64"/>
      <c r="L88" s="64"/>
      <c r="M88" s="64"/>
      <c r="N88" s="64"/>
      <c r="O88" s="64">
        <v>800000</v>
      </c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49">
        <f t="shared" si="9"/>
        <v>800000</v>
      </c>
      <c r="AC88" s="49">
        <f t="shared" si="10"/>
        <v>0</v>
      </c>
    </row>
    <row r="89" spans="1:30">
      <c r="A89" s="64" t="s">
        <v>442</v>
      </c>
      <c r="B89" s="64" t="s">
        <v>156</v>
      </c>
      <c r="C89" s="64" t="s">
        <v>157</v>
      </c>
      <c r="D89" s="64">
        <v>490909.09</v>
      </c>
      <c r="E89" s="64">
        <v>5400000</v>
      </c>
      <c r="F89" s="64">
        <f>+E89-D89</f>
        <v>4909090.91</v>
      </c>
      <c r="G89" s="64" t="s">
        <v>8</v>
      </c>
      <c r="H89" s="65">
        <f>+E89</f>
        <v>5400000</v>
      </c>
      <c r="I89" s="64"/>
      <c r="J89" s="64"/>
      <c r="K89" s="64"/>
      <c r="L89" s="64"/>
      <c r="M89" s="64"/>
      <c r="N89" s="64"/>
      <c r="O89" s="64"/>
      <c r="P89" s="65">
        <f>+H89</f>
        <v>5400000</v>
      </c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49">
        <f t="shared" si="9"/>
        <v>5400000</v>
      </c>
      <c r="AC89" s="49">
        <f t="shared" si="10"/>
        <v>0</v>
      </c>
      <c r="AD89" t="s">
        <v>743</v>
      </c>
    </row>
    <row r="90" spans="1:30">
      <c r="A90" s="64" t="s">
        <v>439</v>
      </c>
      <c r="B90" s="64" t="s">
        <v>1065</v>
      </c>
      <c r="C90" s="64" t="s">
        <v>1064</v>
      </c>
      <c r="D90" s="64"/>
      <c r="E90" s="64"/>
      <c r="F90" s="64"/>
      <c r="G90" s="64"/>
      <c r="H90" s="65">
        <v>200</v>
      </c>
      <c r="I90" s="64">
        <f>+H90</f>
        <v>200</v>
      </c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49">
        <f t="shared" si="9"/>
        <v>200</v>
      </c>
      <c r="AC90" s="49">
        <f t="shared" si="10"/>
        <v>0</v>
      </c>
    </row>
    <row r="91" spans="1:30">
      <c r="A91" s="64" t="s">
        <v>439</v>
      </c>
      <c r="B91" s="64" t="s">
        <v>116</v>
      </c>
      <c r="C91" s="64" t="s">
        <v>117</v>
      </c>
      <c r="D91" s="64">
        <v>0</v>
      </c>
      <c r="E91" s="64">
        <v>99000</v>
      </c>
      <c r="F91" s="64">
        <f>+E91-D91</f>
        <v>99000</v>
      </c>
      <c r="G91" s="64" t="s">
        <v>55</v>
      </c>
      <c r="H91" s="65">
        <f>+E91</f>
        <v>99000</v>
      </c>
      <c r="I91" s="64"/>
      <c r="J91" s="64"/>
      <c r="K91" s="64"/>
      <c r="L91" s="64"/>
      <c r="M91" s="65">
        <f>+H91</f>
        <v>99000</v>
      </c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49">
        <f t="shared" si="9"/>
        <v>99000</v>
      </c>
      <c r="AC91" s="49">
        <f t="shared" si="10"/>
        <v>0</v>
      </c>
      <c r="AD91" t="s">
        <v>743</v>
      </c>
    </row>
    <row r="92" spans="1:30">
      <c r="A92" s="64" t="s">
        <v>439</v>
      </c>
      <c r="B92" s="64" t="s">
        <v>440</v>
      </c>
      <c r="C92" s="64" t="s">
        <v>441</v>
      </c>
      <c r="D92" s="64">
        <v>0</v>
      </c>
      <c r="E92" s="64">
        <v>160000</v>
      </c>
      <c r="F92" s="64">
        <f>+E92-D92</f>
        <v>160000</v>
      </c>
      <c r="G92" s="64" t="s">
        <v>8</v>
      </c>
      <c r="H92" s="65">
        <f>+E92</f>
        <v>160000</v>
      </c>
      <c r="I92" s="64"/>
      <c r="J92" s="64"/>
      <c r="K92" s="64"/>
      <c r="L92" s="64"/>
      <c r="M92" s="65"/>
      <c r="N92" s="64"/>
      <c r="O92" s="65">
        <f>+H92</f>
        <v>160000</v>
      </c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49">
        <f t="shared" si="9"/>
        <v>160000</v>
      </c>
      <c r="AC92" s="49">
        <f t="shared" si="10"/>
        <v>0</v>
      </c>
      <c r="AD92" t="s">
        <v>743</v>
      </c>
    </row>
    <row r="93" spans="1:30">
      <c r="A93" s="64" t="s">
        <v>436</v>
      </c>
      <c r="B93" s="64" t="s">
        <v>437</v>
      </c>
      <c r="C93" s="64" t="s">
        <v>438</v>
      </c>
      <c r="D93" s="64">
        <v>26363.64</v>
      </c>
      <c r="E93" s="64">
        <v>290000</v>
      </c>
      <c r="F93" s="64">
        <f>+E93-D93</f>
        <v>263636.36</v>
      </c>
      <c r="G93" s="64" t="s">
        <v>8</v>
      </c>
      <c r="H93" s="65">
        <f>+E93</f>
        <v>290000</v>
      </c>
      <c r="I93" s="64"/>
      <c r="J93" s="64"/>
      <c r="K93" s="64"/>
      <c r="L93" s="64"/>
      <c r="M93" s="65">
        <f>+H93</f>
        <v>290000</v>
      </c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49">
        <f t="shared" si="9"/>
        <v>290000</v>
      </c>
      <c r="AC93" s="49">
        <f t="shared" si="10"/>
        <v>0</v>
      </c>
      <c r="AD93" t="s">
        <v>743</v>
      </c>
    </row>
    <row r="94" spans="1:30">
      <c r="A94" s="64" t="s">
        <v>429</v>
      </c>
      <c r="B94" s="64" t="s">
        <v>974</v>
      </c>
      <c r="C94" s="64" t="s">
        <v>1066</v>
      </c>
      <c r="D94" s="64"/>
      <c r="E94" s="64"/>
      <c r="F94" s="64"/>
      <c r="G94" s="64"/>
      <c r="H94" s="65">
        <v>200</v>
      </c>
      <c r="I94" s="64">
        <f>+H94</f>
        <v>200</v>
      </c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49">
        <f t="shared" si="9"/>
        <v>200</v>
      </c>
      <c r="AC94" s="49">
        <f t="shared" si="10"/>
        <v>0</v>
      </c>
    </row>
    <row r="95" spans="1:30">
      <c r="A95" s="64" t="s">
        <v>429</v>
      </c>
      <c r="B95" s="64" t="s">
        <v>1069</v>
      </c>
      <c r="C95" s="64" t="s">
        <v>1068</v>
      </c>
      <c r="D95" s="64"/>
      <c r="E95" s="64"/>
      <c r="F95" s="64"/>
      <c r="G95" s="64"/>
      <c r="H95" s="65">
        <v>200</v>
      </c>
      <c r="I95" s="64">
        <f>+H95</f>
        <v>200</v>
      </c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49">
        <f t="shared" ref="AB95:AB119" si="12">SUM(I95:AA95)</f>
        <v>200</v>
      </c>
      <c r="AC95" s="49">
        <f t="shared" si="10"/>
        <v>0</v>
      </c>
    </row>
    <row r="96" spans="1:30">
      <c r="A96" s="64" t="s">
        <v>429</v>
      </c>
      <c r="B96" s="64" t="s">
        <v>434</v>
      </c>
      <c r="C96" s="64" t="s">
        <v>435</v>
      </c>
      <c r="D96" s="64">
        <v>0</v>
      </c>
      <c r="E96" s="64">
        <v>4400</v>
      </c>
      <c r="F96" s="64">
        <f>+E96-D96</f>
        <v>4400</v>
      </c>
      <c r="G96" s="64" t="s">
        <v>8</v>
      </c>
      <c r="H96" s="65">
        <f>+E96</f>
        <v>4400</v>
      </c>
      <c r="I96" s="64"/>
      <c r="J96" s="64"/>
      <c r="K96" s="65">
        <f>+H96</f>
        <v>4400</v>
      </c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49">
        <f t="shared" si="12"/>
        <v>4400</v>
      </c>
      <c r="AC96" s="49">
        <f t="shared" si="10"/>
        <v>0</v>
      </c>
      <c r="AD96" t="s">
        <v>743</v>
      </c>
    </row>
    <row r="97" spans="1:30">
      <c r="A97" s="64" t="s">
        <v>429</v>
      </c>
      <c r="B97" s="64" t="s">
        <v>434</v>
      </c>
      <c r="C97" s="64" t="s">
        <v>435</v>
      </c>
      <c r="D97" s="64">
        <v>0</v>
      </c>
      <c r="E97" s="64">
        <v>4400</v>
      </c>
      <c r="F97" s="64">
        <f>+E97-D97</f>
        <v>4400</v>
      </c>
      <c r="G97" s="64" t="s">
        <v>8</v>
      </c>
      <c r="H97" s="65">
        <f>+E97</f>
        <v>4400</v>
      </c>
      <c r="I97" s="64"/>
      <c r="J97" s="64"/>
      <c r="K97" s="65">
        <f>+H97</f>
        <v>4400</v>
      </c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49">
        <f t="shared" si="12"/>
        <v>4400</v>
      </c>
      <c r="AC97" s="49">
        <f t="shared" si="10"/>
        <v>0</v>
      </c>
      <c r="AD97" t="s">
        <v>743</v>
      </c>
    </row>
    <row r="98" spans="1:30">
      <c r="A98" s="64" t="s">
        <v>429</v>
      </c>
      <c r="B98" s="64" t="s">
        <v>432</v>
      </c>
      <c r="C98" s="64" t="s">
        <v>433</v>
      </c>
      <c r="D98" s="64">
        <v>13125</v>
      </c>
      <c r="E98" s="64">
        <v>147000</v>
      </c>
      <c r="F98" s="64">
        <f>+E98-D98</f>
        <v>133875</v>
      </c>
      <c r="G98" s="64" t="s">
        <v>8</v>
      </c>
      <c r="H98" s="65">
        <f>+E98</f>
        <v>147000</v>
      </c>
      <c r="I98" s="64"/>
      <c r="J98" s="64"/>
      <c r="K98" s="64"/>
      <c r="L98" s="64"/>
      <c r="M98" s="64"/>
      <c r="N98" s="64"/>
      <c r="O98" s="64"/>
      <c r="P98" s="65">
        <f>+H98</f>
        <v>147000</v>
      </c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49">
        <f t="shared" si="12"/>
        <v>147000</v>
      </c>
      <c r="AC98" s="49">
        <f t="shared" si="10"/>
        <v>0</v>
      </c>
      <c r="AD98" t="s">
        <v>743</v>
      </c>
    </row>
    <row r="99" spans="1:30">
      <c r="A99" s="64" t="s">
        <v>429</v>
      </c>
      <c r="B99" s="64" t="s">
        <v>974</v>
      </c>
      <c r="C99" s="64" t="s">
        <v>1067</v>
      </c>
      <c r="D99" s="64"/>
      <c r="E99" s="64"/>
      <c r="F99" s="64"/>
      <c r="G99" s="64"/>
      <c r="H99" s="65">
        <v>291500</v>
      </c>
      <c r="I99" s="64"/>
      <c r="J99" s="64"/>
      <c r="K99" s="64"/>
      <c r="L99" s="64"/>
      <c r="M99" s="64"/>
      <c r="N99" s="64"/>
      <c r="O99" s="64">
        <v>291500</v>
      </c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49">
        <f t="shared" si="12"/>
        <v>291500</v>
      </c>
      <c r="AC99" s="49">
        <f t="shared" si="10"/>
        <v>0</v>
      </c>
    </row>
    <row r="100" spans="1:30">
      <c r="A100" s="64" t="s">
        <v>429</v>
      </c>
      <c r="B100" s="64" t="s">
        <v>430</v>
      </c>
      <c r="C100" s="64" t="s">
        <v>431</v>
      </c>
      <c r="D100" s="64">
        <v>51785.7143</v>
      </c>
      <c r="E100" s="64">
        <v>580000</v>
      </c>
      <c r="F100" s="64">
        <f>+E100-D100</f>
        <v>528214.28570000001</v>
      </c>
      <c r="G100" s="64" t="s">
        <v>8</v>
      </c>
      <c r="H100" s="65">
        <f>+E100</f>
        <v>580000</v>
      </c>
      <c r="I100" s="79">
        <f>+H100</f>
        <v>580000</v>
      </c>
      <c r="J100" s="65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49">
        <f t="shared" si="12"/>
        <v>580000</v>
      </c>
      <c r="AC100" s="49">
        <f t="shared" si="10"/>
        <v>0</v>
      </c>
      <c r="AD100" t="s">
        <v>743</v>
      </c>
    </row>
    <row r="101" spans="1:30">
      <c r="A101" s="64" t="s">
        <v>429</v>
      </c>
      <c r="B101" s="64" t="s">
        <v>1069</v>
      </c>
      <c r="C101" s="64" t="s">
        <v>1070</v>
      </c>
      <c r="D101" s="64"/>
      <c r="E101" s="64"/>
      <c r="F101" s="64"/>
      <c r="G101" s="64"/>
      <c r="H101" s="65">
        <v>650000</v>
      </c>
      <c r="I101" s="64">
        <v>650000</v>
      </c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49">
        <f t="shared" si="12"/>
        <v>650000</v>
      </c>
      <c r="AC101" s="49">
        <f t="shared" si="10"/>
        <v>0</v>
      </c>
    </row>
    <row r="102" spans="1:30">
      <c r="A102" s="64" t="s">
        <v>429</v>
      </c>
      <c r="B102" s="64" t="s">
        <v>111</v>
      </c>
      <c r="C102" s="64" t="s">
        <v>112</v>
      </c>
      <c r="D102" s="64">
        <v>90909.090909000006</v>
      </c>
      <c r="E102" s="64">
        <v>1000000</v>
      </c>
      <c r="F102" s="64">
        <f t="shared" ref="F102:F107" si="13">+E102-D102</f>
        <v>909090.90909099998</v>
      </c>
      <c r="G102" s="64" t="s">
        <v>8</v>
      </c>
      <c r="H102" s="65">
        <f t="shared" ref="H102:H107" si="14">+E102</f>
        <v>1000000</v>
      </c>
      <c r="I102" s="64"/>
      <c r="J102" s="64"/>
      <c r="K102" s="64"/>
      <c r="L102" s="64"/>
      <c r="M102" s="64"/>
      <c r="N102" s="65">
        <f>+H102</f>
        <v>1000000</v>
      </c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49">
        <f t="shared" si="12"/>
        <v>1000000</v>
      </c>
      <c r="AC102" s="49">
        <f t="shared" si="10"/>
        <v>0</v>
      </c>
      <c r="AD102" t="s">
        <v>743</v>
      </c>
    </row>
    <row r="103" spans="1:30">
      <c r="A103" s="64" t="s">
        <v>424</v>
      </c>
      <c r="B103" s="64" t="s">
        <v>427</v>
      </c>
      <c r="C103" s="64" t="s">
        <v>428</v>
      </c>
      <c r="D103" s="64">
        <v>6363.636364</v>
      </c>
      <c r="E103" s="64">
        <v>70000</v>
      </c>
      <c r="F103" s="64">
        <f t="shared" si="13"/>
        <v>63636.363636000002</v>
      </c>
      <c r="G103" s="64" t="s">
        <v>8</v>
      </c>
      <c r="H103" s="65">
        <f t="shared" si="14"/>
        <v>70000</v>
      </c>
      <c r="I103" s="64"/>
      <c r="J103" s="64"/>
      <c r="K103" s="64"/>
      <c r="L103" s="64"/>
      <c r="M103" s="64"/>
      <c r="N103" s="65">
        <f>+H103</f>
        <v>70000</v>
      </c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49">
        <f t="shared" si="12"/>
        <v>70000</v>
      </c>
      <c r="AC103" s="49">
        <f t="shared" si="10"/>
        <v>0</v>
      </c>
      <c r="AD103" t="s">
        <v>743</v>
      </c>
    </row>
    <row r="104" spans="1:30">
      <c r="A104" s="64" t="s">
        <v>424</v>
      </c>
      <c r="B104" s="64" t="s">
        <v>149</v>
      </c>
      <c r="C104" s="64" t="s">
        <v>150</v>
      </c>
      <c r="D104" s="64">
        <v>7803.0844159999997</v>
      </c>
      <c r="E104" s="64">
        <v>86100</v>
      </c>
      <c r="F104" s="64">
        <f t="shared" si="13"/>
        <v>78296.915584000002</v>
      </c>
      <c r="G104" s="64" t="s">
        <v>8</v>
      </c>
      <c r="H104" s="65">
        <f t="shared" si="14"/>
        <v>86100</v>
      </c>
      <c r="I104" s="64"/>
      <c r="J104" s="64"/>
      <c r="K104" s="65">
        <f>+H104</f>
        <v>86100</v>
      </c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49">
        <f t="shared" si="12"/>
        <v>86100</v>
      </c>
      <c r="AC104" s="49">
        <f t="shared" si="10"/>
        <v>0</v>
      </c>
      <c r="AD104" t="s">
        <v>743</v>
      </c>
    </row>
    <row r="105" spans="1:30">
      <c r="A105" s="64" t="s">
        <v>424</v>
      </c>
      <c r="B105" s="64" t="s">
        <v>103</v>
      </c>
      <c r="C105" s="64" t="s">
        <v>104</v>
      </c>
      <c r="D105" s="64">
        <v>13454.55</v>
      </c>
      <c r="E105" s="64">
        <v>148000</v>
      </c>
      <c r="F105" s="64">
        <f t="shared" si="13"/>
        <v>134545.45000000001</v>
      </c>
      <c r="G105" s="64" t="s">
        <v>8</v>
      </c>
      <c r="H105" s="65">
        <f t="shared" si="14"/>
        <v>148000</v>
      </c>
      <c r="I105" s="65">
        <f>+H105</f>
        <v>148000</v>
      </c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49">
        <f t="shared" si="12"/>
        <v>148000</v>
      </c>
      <c r="AC105" s="49">
        <f t="shared" si="10"/>
        <v>0</v>
      </c>
      <c r="AD105" t="s">
        <v>743</v>
      </c>
    </row>
    <row r="106" spans="1:30">
      <c r="A106" s="64" t="s">
        <v>424</v>
      </c>
      <c r="B106" s="64" t="s">
        <v>308</v>
      </c>
      <c r="C106" s="64" t="s">
        <v>309</v>
      </c>
      <c r="D106" s="64">
        <v>14178.571429</v>
      </c>
      <c r="E106" s="64">
        <v>158800</v>
      </c>
      <c r="F106" s="64">
        <f t="shared" si="13"/>
        <v>144621.428571</v>
      </c>
      <c r="G106" s="64" t="s">
        <v>8</v>
      </c>
      <c r="H106" s="65">
        <f t="shared" si="14"/>
        <v>158800</v>
      </c>
      <c r="I106" s="65">
        <f>+H106</f>
        <v>158800</v>
      </c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49">
        <f t="shared" si="12"/>
        <v>158800</v>
      </c>
      <c r="AC106" s="49">
        <f t="shared" si="10"/>
        <v>0</v>
      </c>
      <c r="AD106" t="s">
        <v>743</v>
      </c>
    </row>
    <row r="107" spans="1:30">
      <c r="A107" s="64" t="s">
        <v>424</v>
      </c>
      <c r="B107" s="64" t="s">
        <v>425</v>
      </c>
      <c r="C107" s="64" t="s">
        <v>426</v>
      </c>
      <c r="D107" s="64">
        <v>0</v>
      </c>
      <c r="E107" s="64">
        <v>500000</v>
      </c>
      <c r="F107" s="64">
        <f t="shared" si="13"/>
        <v>500000</v>
      </c>
      <c r="G107" s="64" t="s">
        <v>8</v>
      </c>
      <c r="H107" s="65">
        <f t="shared" si="14"/>
        <v>500000</v>
      </c>
      <c r="I107" s="64"/>
      <c r="J107" s="64"/>
      <c r="K107" s="64"/>
      <c r="L107" s="64"/>
      <c r="M107" s="64"/>
      <c r="N107" s="65">
        <f>+H107</f>
        <v>500000</v>
      </c>
      <c r="O107" s="61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49">
        <f t="shared" si="12"/>
        <v>500000</v>
      </c>
      <c r="AC107" s="49">
        <f t="shared" si="10"/>
        <v>0</v>
      </c>
      <c r="AD107" t="s">
        <v>743</v>
      </c>
    </row>
    <row r="108" spans="1:30">
      <c r="A108" s="64" t="s">
        <v>419</v>
      </c>
      <c r="B108" s="64" t="s">
        <v>1072</v>
      </c>
      <c r="C108" s="64" t="s">
        <v>1071</v>
      </c>
      <c r="D108" s="64"/>
      <c r="E108" s="64"/>
      <c r="F108" s="64"/>
      <c r="G108" s="64"/>
      <c r="H108" s="65">
        <v>200</v>
      </c>
      <c r="I108" s="64">
        <f t="shared" ref="I108:I119" si="15">+H108</f>
        <v>200</v>
      </c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49">
        <f t="shared" si="12"/>
        <v>200</v>
      </c>
      <c r="AC108" s="49">
        <f t="shared" si="10"/>
        <v>0</v>
      </c>
    </row>
    <row r="109" spans="1:30">
      <c r="A109" s="64" t="s">
        <v>419</v>
      </c>
      <c r="B109" s="64" t="s">
        <v>1074</v>
      </c>
      <c r="C109" s="64" t="s">
        <v>1073</v>
      </c>
      <c r="D109" s="64"/>
      <c r="E109" s="64"/>
      <c r="F109" s="64"/>
      <c r="G109" s="64"/>
      <c r="H109" s="65">
        <v>200</v>
      </c>
      <c r="I109" s="64">
        <f t="shared" si="15"/>
        <v>200</v>
      </c>
      <c r="J109" s="64"/>
      <c r="K109" s="61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49">
        <f t="shared" si="12"/>
        <v>200</v>
      </c>
      <c r="AC109" s="49">
        <f t="shared" si="10"/>
        <v>0</v>
      </c>
    </row>
    <row r="110" spans="1:30">
      <c r="A110" s="64" t="s">
        <v>419</v>
      </c>
      <c r="B110" s="64" t="s">
        <v>1077</v>
      </c>
      <c r="C110" s="64" t="s">
        <v>1076</v>
      </c>
      <c r="D110" s="64"/>
      <c r="E110" s="64"/>
      <c r="F110" s="64"/>
      <c r="G110" s="64"/>
      <c r="H110" s="65">
        <v>200</v>
      </c>
      <c r="I110" s="64">
        <f t="shared" si="15"/>
        <v>200</v>
      </c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49">
        <f t="shared" si="12"/>
        <v>200</v>
      </c>
      <c r="AC110" s="49">
        <f t="shared" si="10"/>
        <v>0</v>
      </c>
    </row>
    <row r="111" spans="1:30">
      <c r="A111" s="64" t="s">
        <v>419</v>
      </c>
      <c r="B111" s="64" t="s">
        <v>1079</v>
      </c>
      <c r="C111" s="64" t="s">
        <v>1078</v>
      </c>
      <c r="D111" s="64"/>
      <c r="E111" s="64"/>
      <c r="F111" s="64"/>
      <c r="G111" s="64"/>
      <c r="H111" s="65">
        <v>200</v>
      </c>
      <c r="I111" s="64">
        <f t="shared" si="15"/>
        <v>200</v>
      </c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49">
        <f t="shared" si="12"/>
        <v>200</v>
      </c>
      <c r="AC111" s="49">
        <f t="shared" si="10"/>
        <v>0</v>
      </c>
    </row>
    <row r="112" spans="1:30">
      <c r="A112" s="64" t="s">
        <v>419</v>
      </c>
      <c r="B112" s="64" t="s">
        <v>943</v>
      </c>
      <c r="C112" s="64" t="s">
        <v>1081</v>
      </c>
      <c r="D112" s="64"/>
      <c r="E112" s="64"/>
      <c r="F112" s="64"/>
      <c r="G112" s="64"/>
      <c r="H112" s="65">
        <v>200</v>
      </c>
      <c r="I112" s="64">
        <f t="shared" si="15"/>
        <v>200</v>
      </c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49">
        <f t="shared" si="12"/>
        <v>200</v>
      </c>
      <c r="AC112" s="49">
        <f t="shared" si="10"/>
        <v>0</v>
      </c>
    </row>
    <row r="113" spans="1:30">
      <c r="A113" s="64" t="s">
        <v>419</v>
      </c>
      <c r="B113" s="64" t="s">
        <v>1083</v>
      </c>
      <c r="C113" s="64" t="s">
        <v>1082</v>
      </c>
      <c r="D113" s="64"/>
      <c r="E113" s="64"/>
      <c r="F113" s="64"/>
      <c r="G113" s="64"/>
      <c r="H113" s="65">
        <v>200</v>
      </c>
      <c r="I113" s="64">
        <f t="shared" si="15"/>
        <v>200</v>
      </c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49">
        <f t="shared" si="12"/>
        <v>200</v>
      </c>
      <c r="AC113" s="49">
        <f t="shared" si="10"/>
        <v>0</v>
      </c>
    </row>
    <row r="114" spans="1:30">
      <c r="A114" s="64" t="s">
        <v>419</v>
      </c>
      <c r="B114" s="64" t="s">
        <v>1069</v>
      </c>
      <c r="C114" s="64" t="s">
        <v>1085</v>
      </c>
      <c r="D114" s="64"/>
      <c r="E114" s="64"/>
      <c r="F114" s="64"/>
      <c r="G114" s="64"/>
      <c r="H114" s="65">
        <v>200</v>
      </c>
      <c r="I114" s="64">
        <f t="shared" si="15"/>
        <v>200</v>
      </c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49">
        <f t="shared" si="12"/>
        <v>200</v>
      </c>
      <c r="AC114" s="49">
        <f t="shared" si="10"/>
        <v>0</v>
      </c>
    </row>
    <row r="115" spans="1:30">
      <c r="A115" s="64" t="s">
        <v>419</v>
      </c>
      <c r="B115" s="64" t="s">
        <v>977</v>
      </c>
      <c r="C115" s="64" t="s">
        <v>1087</v>
      </c>
      <c r="D115" s="64"/>
      <c r="E115" s="64"/>
      <c r="F115" s="64"/>
      <c r="G115" s="64"/>
      <c r="H115" s="65">
        <v>200</v>
      </c>
      <c r="I115" s="64">
        <f t="shared" si="15"/>
        <v>200</v>
      </c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49">
        <f t="shared" si="12"/>
        <v>200</v>
      </c>
      <c r="AC115" s="49">
        <f t="shared" si="10"/>
        <v>0</v>
      </c>
    </row>
    <row r="116" spans="1:30">
      <c r="A116" s="64" t="s">
        <v>419</v>
      </c>
      <c r="B116" s="64" t="s">
        <v>1090</v>
      </c>
      <c r="C116" s="64" t="s">
        <v>1089</v>
      </c>
      <c r="D116" s="64"/>
      <c r="E116" s="64"/>
      <c r="F116" s="64"/>
      <c r="G116" s="64"/>
      <c r="H116" s="65">
        <v>200</v>
      </c>
      <c r="I116" s="64">
        <f t="shared" si="15"/>
        <v>200</v>
      </c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49">
        <f t="shared" si="12"/>
        <v>200</v>
      </c>
      <c r="AC116" s="49">
        <f t="shared" si="10"/>
        <v>0</v>
      </c>
    </row>
    <row r="117" spans="1:30">
      <c r="A117" s="64" t="s">
        <v>419</v>
      </c>
      <c r="B117" s="64" t="s">
        <v>1093</v>
      </c>
      <c r="C117" s="64" t="s">
        <v>1092</v>
      </c>
      <c r="D117" s="64"/>
      <c r="E117" s="64"/>
      <c r="F117" s="64"/>
      <c r="G117" s="64"/>
      <c r="H117" s="65">
        <v>200</v>
      </c>
      <c r="I117" s="64">
        <f t="shared" si="15"/>
        <v>200</v>
      </c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49">
        <f t="shared" si="12"/>
        <v>200</v>
      </c>
      <c r="AC117" s="49">
        <f t="shared" si="10"/>
        <v>0</v>
      </c>
    </row>
    <row r="118" spans="1:30">
      <c r="A118" s="64" t="s">
        <v>419</v>
      </c>
      <c r="B118" s="64" t="s">
        <v>930</v>
      </c>
      <c r="C118" s="64" t="s">
        <v>1094</v>
      </c>
      <c r="D118" s="64"/>
      <c r="E118" s="64"/>
      <c r="F118" s="64"/>
      <c r="G118" s="64"/>
      <c r="H118" s="65">
        <v>200</v>
      </c>
      <c r="I118" s="64">
        <f t="shared" si="15"/>
        <v>200</v>
      </c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49">
        <f t="shared" si="12"/>
        <v>200</v>
      </c>
      <c r="AC118" s="49">
        <f t="shared" si="10"/>
        <v>0</v>
      </c>
    </row>
    <row r="119" spans="1:30">
      <c r="A119" s="64" t="s">
        <v>419</v>
      </c>
      <c r="B119" s="64" t="s">
        <v>241</v>
      </c>
      <c r="C119" s="64" t="s">
        <v>242</v>
      </c>
      <c r="D119" s="64">
        <v>2000</v>
      </c>
      <c r="E119" s="64">
        <v>22000</v>
      </c>
      <c r="F119" s="64">
        <f t="shared" ref="F119:F124" si="16">+E119-D119</f>
        <v>20000</v>
      </c>
      <c r="G119" s="64" t="s">
        <v>8</v>
      </c>
      <c r="H119" s="65">
        <f t="shared" ref="H119:H124" si="17">+E119</f>
        <v>22000</v>
      </c>
      <c r="I119" s="65">
        <f t="shared" si="15"/>
        <v>22000</v>
      </c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49">
        <f t="shared" si="12"/>
        <v>22000</v>
      </c>
      <c r="AC119" s="49">
        <f t="shared" si="10"/>
        <v>0</v>
      </c>
      <c r="AD119" t="s">
        <v>743</v>
      </c>
    </row>
    <row r="120" spans="1:30">
      <c r="A120" s="64" t="s">
        <v>419</v>
      </c>
      <c r="B120" s="64" t="s">
        <v>103</v>
      </c>
      <c r="C120" s="64" t="s">
        <v>104</v>
      </c>
      <c r="D120" s="64">
        <v>4036.36</v>
      </c>
      <c r="E120" s="64">
        <v>44400</v>
      </c>
      <c r="F120" s="64">
        <f t="shared" si="16"/>
        <v>40363.64</v>
      </c>
      <c r="G120" s="64" t="s">
        <v>8</v>
      </c>
      <c r="H120" s="65">
        <f t="shared" si="17"/>
        <v>44400</v>
      </c>
      <c r="J120" s="64"/>
      <c r="K120" s="64"/>
      <c r="L120" s="64"/>
      <c r="M120" s="65">
        <f>+H120</f>
        <v>44400</v>
      </c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49">
        <f>SUM(J120:AA120)</f>
        <v>44400</v>
      </c>
      <c r="AC120" s="49">
        <f t="shared" si="10"/>
        <v>0</v>
      </c>
      <c r="AD120" t="s">
        <v>743</v>
      </c>
    </row>
    <row r="121" spans="1:30">
      <c r="A121" s="64" t="s">
        <v>419</v>
      </c>
      <c r="B121" s="64" t="s">
        <v>103</v>
      </c>
      <c r="C121" s="64" t="s">
        <v>104</v>
      </c>
      <c r="D121" s="64">
        <v>4309.09</v>
      </c>
      <c r="E121" s="64">
        <v>47400</v>
      </c>
      <c r="F121" s="64">
        <f t="shared" si="16"/>
        <v>43090.91</v>
      </c>
      <c r="G121" s="64" t="s">
        <v>8</v>
      </c>
      <c r="H121" s="65">
        <f t="shared" si="17"/>
        <v>47400</v>
      </c>
      <c r="I121" s="65">
        <f>+H121</f>
        <v>47400</v>
      </c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49">
        <f t="shared" ref="AB121:AB163" si="18">SUM(I121:AA121)</f>
        <v>47400</v>
      </c>
      <c r="AC121" s="49">
        <f t="shared" si="10"/>
        <v>0</v>
      </c>
      <c r="AD121" t="s">
        <v>743</v>
      </c>
    </row>
    <row r="122" spans="1:30">
      <c r="A122" s="64" t="s">
        <v>419</v>
      </c>
      <c r="B122" s="64" t="s">
        <v>420</v>
      </c>
      <c r="C122" s="64" t="s">
        <v>421</v>
      </c>
      <c r="D122" s="64">
        <v>4400</v>
      </c>
      <c r="E122" s="64">
        <v>48400</v>
      </c>
      <c r="F122" s="64">
        <f t="shared" si="16"/>
        <v>44000</v>
      </c>
      <c r="G122" s="64" t="s">
        <v>8</v>
      </c>
      <c r="H122" s="65">
        <f t="shared" si="17"/>
        <v>48400</v>
      </c>
      <c r="I122" s="64"/>
      <c r="J122" s="64"/>
      <c r="K122" s="64"/>
      <c r="L122" s="64"/>
      <c r="M122" s="64"/>
      <c r="N122" s="65">
        <f>+H122</f>
        <v>48400</v>
      </c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49">
        <f t="shared" si="18"/>
        <v>48400</v>
      </c>
      <c r="AC122" s="49">
        <f t="shared" si="10"/>
        <v>0</v>
      </c>
      <c r="AD122" t="s">
        <v>743</v>
      </c>
    </row>
    <row r="123" spans="1:30">
      <c r="A123" s="64" t="s">
        <v>419</v>
      </c>
      <c r="B123" s="64" t="s">
        <v>241</v>
      </c>
      <c r="C123" s="64" t="s">
        <v>242</v>
      </c>
      <c r="D123" s="64">
        <v>12400</v>
      </c>
      <c r="E123" s="64">
        <v>136400</v>
      </c>
      <c r="F123" s="64">
        <f t="shared" si="16"/>
        <v>124000</v>
      </c>
      <c r="G123" s="64" t="s">
        <v>8</v>
      </c>
      <c r="H123" s="65">
        <f t="shared" si="17"/>
        <v>136400</v>
      </c>
      <c r="I123" s="64"/>
      <c r="J123" s="64"/>
      <c r="K123" s="64"/>
      <c r="L123" s="64"/>
      <c r="M123" s="64"/>
      <c r="N123" s="64"/>
      <c r="O123" s="65">
        <f>+H123</f>
        <v>136400</v>
      </c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49">
        <f t="shared" si="18"/>
        <v>136400</v>
      </c>
      <c r="AC123" s="49">
        <f t="shared" si="10"/>
        <v>0</v>
      </c>
      <c r="AD123" t="s">
        <v>743</v>
      </c>
    </row>
    <row r="124" spans="1:30">
      <c r="A124" s="64" t="s">
        <v>419</v>
      </c>
      <c r="B124" s="64" t="s">
        <v>241</v>
      </c>
      <c r="C124" s="64" t="s">
        <v>242</v>
      </c>
      <c r="D124" s="64">
        <v>13200</v>
      </c>
      <c r="E124" s="64">
        <v>145200</v>
      </c>
      <c r="F124" s="64">
        <f t="shared" si="16"/>
        <v>132000</v>
      </c>
      <c r="G124" s="64" t="s">
        <v>8</v>
      </c>
      <c r="H124" s="65">
        <f t="shared" si="17"/>
        <v>145200</v>
      </c>
      <c r="I124" s="64"/>
      <c r="J124" s="64"/>
      <c r="K124" s="64"/>
      <c r="L124" s="64"/>
      <c r="M124" s="64"/>
      <c r="N124" s="64"/>
      <c r="O124" s="65">
        <f>+H124</f>
        <v>145200</v>
      </c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49">
        <f t="shared" si="18"/>
        <v>145200</v>
      </c>
      <c r="AC124" s="49">
        <f t="shared" si="10"/>
        <v>0</v>
      </c>
      <c r="AD124" t="s">
        <v>743</v>
      </c>
    </row>
    <row r="125" spans="1:30">
      <c r="A125" s="64" t="s">
        <v>419</v>
      </c>
      <c r="B125" s="64" t="s">
        <v>1083</v>
      </c>
      <c r="C125" s="64" t="s">
        <v>1084</v>
      </c>
      <c r="D125" s="64"/>
      <c r="E125" s="64"/>
      <c r="F125" s="64"/>
      <c r="G125" s="64"/>
      <c r="H125" s="65">
        <v>255000</v>
      </c>
      <c r="I125" s="64"/>
      <c r="J125" s="64"/>
      <c r="K125" s="64"/>
      <c r="L125" s="64"/>
      <c r="M125" s="64"/>
      <c r="N125" s="64">
        <f>+H125</f>
        <v>255000</v>
      </c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49">
        <f t="shared" si="18"/>
        <v>255000</v>
      </c>
      <c r="AC125" s="49">
        <f t="shared" si="10"/>
        <v>0</v>
      </c>
    </row>
    <row r="126" spans="1:30">
      <c r="A126" s="64" t="s">
        <v>419</v>
      </c>
      <c r="B126" s="64" t="s">
        <v>1074</v>
      </c>
      <c r="C126" s="64" t="s">
        <v>1075</v>
      </c>
      <c r="D126" s="64"/>
      <c r="E126" s="64"/>
      <c r="F126" s="64"/>
      <c r="G126" s="64"/>
      <c r="H126" s="65">
        <v>390000</v>
      </c>
      <c r="I126" s="64"/>
      <c r="J126" s="64"/>
      <c r="K126" s="64"/>
      <c r="L126" s="64"/>
      <c r="M126" s="64"/>
      <c r="N126" s="64">
        <f>+H126</f>
        <v>390000</v>
      </c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49">
        <f t="shared" si="18"/>
        <v>390000</v>
      </c>
      <c r="AC126" s="49">
        <f t="shared" si="10"/>
        <v>0</v>
      </c>
    </row>
    <row r="127" spans="1:30">
      <c r="A127" s="64" t="s">
        <v>419</v>
      </c>
      <c r="B127" s="64" t="s">
        <v>422</v>
      </c>
      <c r="C127" s="64" t="s">
        <v>423</v>
      </c>
      <c r="D127" s="64">
        <v>47956.363636000002</v>
      </c>
      <c r="E127" s="64">
        <v>527520</v>
      </c>
      <c r="F127" s="64">
        <f>+E127-D127</f>
        <v>479563.63636399998</v>
      </c>
      <c r="G127" s="64" t="s">
        <v>8</v>
      </c>
      <c r="H127" s="65">
        <f>+E127</f>
        <v>527520</v>
      </c>
      <c r="I127" s="64"/>
      <c r="J127" s="64"/>
      <c r="K127" s="64"/>
      <c r="L127" s="64"/>
      <c r="M127" s="64"/>
      <c r="N127" s="65">
        <f>+H127</f>
        <v>527520</v>
      </c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49">
        <f t="shared" si="18"/>
        <v>527520</v>
      </c>
      <c r="AC127" s="49">
        <f t="shared" si="10"/>
        <v>0</v>
      </c>
      <c r="AD127" t="s">
        <v>743</v>
      </c>
    </row>
    <row r="128" spans="1:30">
      <c r="A128" s="64" t="s">
        <v>419</v>
      </c>
      <c r="B128" s="64" t="s">
        <v>1069</v>
      </c>
      <c r="C128" s="64" t="s">
        <v>1086</v>
      </c>
      <c r="D128" s="64"/>
      <c r="E128" s="64"/>
      <c r="F128" s="64"/>
      <c r="G128" s="64"/>
      <c r="H128" s="65">
        <v>2168000</v>
      </c>
      <c r="I128" s="64"/>
      <c r="J128" s="64"/>
      <c r="K128" s="64"/>
      <c r="L128" s="64"/>
      <c r="M128" s="64">
        <v>2168000</v>
      </c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49">
        <f t="shared" si="18"/>
        <v>2168000</v>
      </c>
      <c r="AC128" s="49">
        <f t="shared" si="10"/>
        <v>0</v>
      </c>
    </row>
    <row r="129" spans="1:30">
      <c r="A129" s="64" t="s">
        <v>419</v>
      </c>
      <c r="B129" s="64" t="s">
        <v>1079</v>
      </c>
      <c r="C129" s="64" t="s">
        <v>1080</v>
      </c>
      <c r="D129" s="64"/>
      <c r="E129" s="64"/>
      <c r="F129" s="64"/>
      <c r="G129" s="64"/>
      <c r="H129" s="65">
        <v>3293400</v>
      </c>
      <c r="I129" s="64"/>
      <c r="J129" s="64"/>
      <c r="K129" s="64"/>
      <c r="L129" s="64"/>
      <c r="M129" s="64"/>
      <c r="N129" s="64">
        <f>+H129</f>
        <v>3293400</v>
      </c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49">
        <f t="shared" si="18"/>
        <v>3293400</v>
      </c>
      <c r="AC129" s="49">
        <f t="shared" si="10"/>
        <v>0</v>
      </c>
    </row>
    <row r="130" spans="1:30">
      <c r="A130" s="64" t="s">
        <v>419</v>
      </c>
      <c r="B130" s="64" t="s">
        <v>1090</v>
      </c>
      <c r="C130" s="64" t="s">
        <v>1091</v>
      </c>
      <c r="D130" s="64"/>
      <c r="E130" s="64"/>
      <c r="F130" s="64"/>
      <c r="G130" s="64"/>
      <c r="H130" s="65">
        <v>4456093</v>
      </c>
      <c r="I130" s="64"/>
      <c r="J130" s="64">
        <v>4456093</v>
      </c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49">
        <f t="shared" si="18"/>
        <v>4456093</v>
      </c>
      <c r="AC130" s="49">
        <f t="shared" ref="AC130:AC193" si="19">+AB130-H130</f>
        <v>0</v>
      </c>
    </row>
    <row r="131" spans="1:30">
      <c r="A131" s="64" t="s">
        <v>419</v>
      </c>
      <c r="B131" s="64" t="s">
        <v>977</v>
      </c>
      <c r="C131" s="64" t="s">
        <v>1088</v>
      </c>
      <c r="D131" s="64"/>
      <c r="E131" s="64"/>
      <c r="F131" s="64"/>
      <c r="G131" s="64"/>
      <c r="H131" s="65">
        <v>4953200</v>
      </c>
      <c r="I131" s="64"/>
      <c r="J131" s="64"/>
      <c r="K131" s="64"/>
      <c r="L131" s="64"/>
      <c r="M131" s="64"/>
      <c r="N131" s="64"/>
      <c r="O131" s="64">
        <v>4953200</v>
      </c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49">
        <f t="shared" si="18"/>
        <v>4953200</v>
      </c>
      <c r="AC131" s="49">
        <f t="shared" si="19"/>
        <v>0</v>
      </c>
    </row>
    <row r="132" spans="1:30">
      <c r="A132" s="64" t="s">
        <v>416</v>
      </c>
      <c r="B132" s="64" t="s">
        <v>943</v>
      </c>
      <c r="C132" s="64" t="s">
        <v>1095</v>
      </c>
      <c r="D132" s="64"/>
      <c r="E132" s="64"/>
      <c r="F132" s="64"/>
      <c r="G132" s="64"/>
      <c r="H132" s="65">
        <v>200</v>
      </c>
      <c r="I132" s="64">
        <f>+H132</f>
        <v>200</v>
      </c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49">
        <f t="shared" si="18"/>
        <v>200</v>
      </c>
      <c r="AC132" s="49">
        <f t="shared" si="19"/>
        <v>0</v>
      </c>
    </row>
    <row r="133" spans="1:30">
      <c r="A133" s="64" t="s">
        <v>416</v>
      </c>
      <c r="B133" s="64" t="s">
        <v>1099</v>
      </c>
      <c r="C133" s="64" t="s">
        <v>1098</v>
      </c>
      <c r="D133" s="64"/>
      <c r="E133" s="64"/>
      <c r="F133" s="64"/>
      <c r="G133" s="64"/>
      <c r="H133" s="65">
        <v>200</v>
      </c>
      <c r="I133" s="64">
        <f>+H133</f>
        <v>200</v>
      </c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49">
        <f t="shared" si="18"/>
        <v>200</v>
      </c>
      <c r="AC133" s="49">
        <f t="shared" si="19"/>
        <v>0</v>
      </c>
    </row>
    <row r="134" spans="1:30">
      <c r="A134" s="64" t="s">
        <v>416</v>
      </c>
      <c r="B134" s="64" t="s">
        <v>1102</v>
      </c>
      <c r="C134" s="64" t="s">
        <v>1101</v>
      </c>
      <c r="D134" s="64"/>
      <c r="E134" s="64"/>
      <c r="F134" s="64"/>
      <c r="G134" s="64"/>
      <c r="H134" s="65">
        <v>200</v>
      </c>
      <c r="I134" s="64">
        <f>+H134</f>
        <v>200</v>
      </c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49">
        <f t="shared" si="18"/>
        <v>200</v>
      </c>
      <c r="AC134" s="49">
        <f t="shared" si="19"/>
        <v>0</v>
      </c>
    </row>
    <row r="135" spans="1:30">
      <c r="A135" s="64" t="s">
        <v>416</v>
      </c>
      <c r="B135" s="64" t="s">
        <v>914</v>
      </c>
      <c r="C135" s="64" t="s">
        <v>1104</v>
      </c>
      <c r="D135" s="64"/>
      <c r="E135" s="64"/>
      <c r="F135" s="64"/>
      <c r="G135" s="64"/>
      <c r="H135" s="65">
        <v>200</v>
      </c>
      <c r="I135" s="64">
        <f>+H135</f>
        <v>200</v>
      </c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49">
        <f t="shared" si="18"/>
        <v>200</v>
      </c>
      <c r="AC135" s="49">
        <f t="shared" si="19"/>
        <v>0</v>
      </c>
    </row>
    <row r="136" spans="1:30">
      <c r="A136" s="64" t="s">
        <v>416</v>
      </c>
      <c r="B136" s="64" t="s">
        <v>103</v>
      </c>
      <c r="C136" s="64" t="s">
        <v>104</v>
      </c>
      <c r="D136" s="64">
        <v>5472.73</v>
      </c>
      <c r="E136" s="64">
        <v>60200</v>
      </c>
      <c r="F136" s="64">
        <f>+E136-D136</f>
        <v>54727.270000000004</v>
      </c>
      <c r="G136" s="64" t="s">
        <v>8</v>
      </c>
      <c r="H136" s="65">
        <f>+E136</f>
        <v>60200</v>
      </c>
      <c r="I136" s="65">
        <f>+H136</f>
        <v>60200</v>
      </c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49">
        <f t="shared" si="18"/>
        <v>60200</v>
      </c>
      <c r="AC136" s="49">
        <f t="shared" si="19"/>
        <v>0</v>
      </c>
      <c r="AD136" t="s">
        <v>743</v>
      </c>
    </row>
    <row r="137" spans="1:30">
      <c r="A137" s="64" t="s">
        <v>416</v>
      </c>
      <c r="B137" s="64" t="s">
        <v>1099</v>
      </c>
      <c r="C137" s="64" t="s">
        <v>1100</v>
      </c>
      <c r="D137" s="64"/>
      <c r="E137" s="64"/>
      <c r="F137" s="64"/>
      <c r="G137" s="64"/>
      <c r="H137" s="65">
        <v>130000</v>
      </c>
      <c r="I137" s="64"/>
      <c r="J137" s="64"/>
      <c r="K137" s="64"/>
      <c r="L137" s="64"/>
      <c r="M137" s="64"/>
      <c r="N137" s="64"/>
      <c r="O137" s="64"/>
      <c r="P137" s="64">
        <v>130000</v>
      </c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49">
        <f t="shared" si="18"/>
        <v>130000</v>
      </c>
      <c r="AC137" s="49">
        <f t="shared" si="19"/>
        <v>0</v>
      </c>
    </row>
    <row r="138" spans="1:30">
      <c r="A138" s="64" t="s">
        <v>416</v>
      </c>
      <c r="B138" s="64" t="s">
        <v>156</v>
      </c>
      <c r="C138" s="64" t="s">
        <v>157</v>
      </c>
      <c r="D138" s="64">
        <v>13640</v>
      </c>
      <c r="E138" s="64">
        <v>150040</v>
      </c>
      <c r="F138" s="64">
        <f>+E138-D138</f>
        <v>136400</v>
      </c>
      <c r="G138" s="64" t="s">
        <v>8</v>
      </c>
      <c r="H138" s="65">
        <f>+E138</f>
        <v>150040</v>
      </c>
      <c r="I138" s="65">
        <f>+H138</f>
        <v>150040</v>
      </c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49">
        <f t="shared" si="18"/>
        <v>150040</v>
      </c>
      <c r="AC138" s="49">
        <f t="shared" si="19"/>
        <v>0</v>
      </c>
      <c r="AD138" t="s">
        <v>743</v>
      </c>
    </row>
    <row r="139" spans="1:30">
      <c r="A139" s="64" t="s">
        <v>416</v>
      </c>
      <c r="B139" s="64" t="s">
        <v>103</v>
      </c>
      <c r="C139" s="64" t="s">
        <v>104</v>
      </c>
      <c r="D139" s="64">
        <v>15536.36</v>
      </c>
      <c r="E139" s="64">
        <v>170900</v>
      </c>
      <c r="F139" s="64">
        <f>+E139-D139</f>
        <v>155363.64000000001</v>
      </c>
      <c r="G139" s="64" t="s">
        <v>8</v>
      </c>
      <c r="H139" s="65">
        <f>+E139</f>
        <v>170900</v>
      </c>
      <c r="I139" s="64"/>
      <c r="J139" s="64"/>
      <c r="K139" s="65">
        <f>+H139</f>
        <v>170900</v>
      </c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49">
        <f t="shared" si="18"/>
        <v>170900</v>
      </c>
      <c r="AC139" s="49">
        <f t="shared" si="19"/>
        <v>0</v>
      </c>
      <c r="AD139" t="s">
        <v>743</v>
      </c>
    </row>
    <row r="140" spans="1:30">
      <c r="A140" s="64" t="s">
        <v>416</v>
      </c>
      <c r="B140" s="64" t="s">
        <v>417</v>
      </c>
      <c r="C140" s="64" t="s">
        <v>418</v>
      </c>
      <c r="D140" s="64">
        <v>18122.91</v>
      </c>
      <c r="E140" s="64">
        <v>199352</v>
      </c>
      <c r="F140" s="64">
        <f>+E140-D140</f>
        <v>181229.09</v>
      </c>
      <c r="G140" s="64" t="s">
        <v>8</v>
      </c>
      <c r="H140" s="65">
        <f>+E140</f>
        <v>199352</v>
      </c>
      <c r="I140" s="65">
        <f>+H140</f>
        <v>199352</v>
      </c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49">
        <f t="shared" si="18"/>
        <v>199352</v>
      </c>
      <c r="AC140" s="49">
        <f t="shared" si="19"/>
        <v>0</v>
      </c>
      <c r="AD140" t="s">
        <v>743</v>
      </c>
    </row>
    <row r="141" spans="1:30">
      <c r="A141" s="64" t="s">
        <v>416</v>
      </c>
      <c r="B141" s="64" t="s">
        <v>914</v>
      </c>
      <c r="C141" s="64" t="s">
        <v>1105</v>
      </c>
      <c r="D141" s="64"/>
      <c r="E141" s="64"/>
      <c r="F141" s="64"/>
      <c r="G141" s="64"/>
      <c r="H141" s="65">
        <v>200000</v>
      </c>
      <c r="I141" s="64">
        <v>200000</v>
      </c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49">
        <f t="shared" si="18"/>
        <v>200000</v>
      </c>
      <c r="AC141" s="49">
        <f t="shared" si="19"/>
        <v>0</v>
      </c>
    </row>
    <row r="142" spans="1:30">
      <c r="A142" s="64" t="s">
        <v>416</v>
      </c>
      <c r="B142" s="64" t="s">
        <v>1102</v>
      </c>
      <c r="C142" s="64" t="s">
        <v>1103</v>
      </c>
      <c r="D142" s="64"/>
      <c r="E142" s="64"/>
      <c r="F142" s="64"/>
      <c r="G142" s="64"/>
      <c r="H142" s="65">
        <v>299500</v>
      </c>
      <c r="I142" s="64"/>
      <c r="J142" s="64"/>
      <c r="K142" s="64"/>
      <c r="L142" s="64"/>
      <c r="M142" s="64">
        <v>299500</v>
      </c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49">
        <f t="shared" si="18"/>
        <v>299500</v>
      </c>
      <c r="AC142" s="49">
        <f t="shared" si="19"/>
        <v>0</v>
      </c>
    </row>
    <row r="143" spans="1:30">
      <c r="A143" s="64" t="s">
        <v>416</v>
      </c>
      <c r="B143" s="64" t="s">
        <v>943</v>
      </c>
      <c r="C143" s="64" t="s">
        <v>1096</v>
      </c>
      <c r="D143" s="64"/>
      <c r="E143" s="64"/>
      <c r="F143" s="64"/>
      <c r="G143" s="64"/>
      <c r="H143" s="65">
        <v>500000</v>
      </c>
      <c r="I143" s="64"/>
      <c r="J143" s="64">
        <v>500000</v>
      </c>
      <c r="K143" s="64" t="s">
        <v>1097</v>
      </c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49">
        <f t="shared" si="18"/>
        <v>500000</v>
      </c>
      <c r="AC143" s="49">
        <f t="shared" si="19"/>
        <v>0</v>
      </c>
    </row>
    <row r="144" spans="1:30">
      <c r="A144" s="64" t="s">
        <v>411</v>
      </c>
      <c r="B144" s="64" t="s">
        <v>414</v>
      </c>
      <c r="C144" s="64" t="s">
        <v>415</v>
      </c>
      <c r="D144" s="64">
        <v>4910.71</v>
      </c>
      <c r="E144" s="64">
        <v>55000</v>
      </c>
      <c r="F144" s="64">
        <f t="shared" ref="F144:F149" si="20">+E144-D144</f>
        <v>50089.29</v>
      </c>
      <c r="G144" s="64" t="s">
        <v>8</v>
      </c>
      <c r="H144" s="65">
        <f t="shared" ref="H144:H149" si="21">+E144</f>
        <v>55000</v>
      </c>
      <c r="I144" s="64"/>
      <c r="J144" s="64"/>
      <c r="K144" s="65">
        <f>+H144</f>
        <v>55000</v>
      </c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49">
        <f t="shared" si="18"/>
        <v>55000</v>
      </c>
      <c r="AC144" s="49">
        <f t="shared" si="19"/>
        <v>0</v>
      </c>
      <c r="AD144" t="s">
        <v>743</v>
      </c>
    </row>
    <row r="145" spans="1:30">
      <c r="A145" s="64" t="s">
        <v>411</v>
      </c>
      <c r="B145" s="64" t="s">
        <v>140</v>
      </c>
      <c r="C145" s="64" t="s">
        <v>141</v>
      </c>
      <c r="D145" s="64">
        <v>0</v>
      </c>
      <c r="E145" s="64">
        <v>90000</v>
      </c>
      <c r="F145" s="64">
        <f t="shared" si="20"/>
        <v>90000</v>
      </c>
      <c r="G145" s="64" t="s">
        <v>55</v>
      </c>
      <c r="H145" s="65">
        <f t="shared" si="21"/>
        <v>90000</v>
      </c>
      <c r="I145" s="65">
        <f>+H145</f>
        <v>90000</v>
      </c>
      <c r="J145" s="64"/>
      <c r="K145" s="64"/>
      <c r="L145" s="64"/>
      <c r="M145" s="65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49">
        <f t="shared" si="18"/>
        <v>90000</v>
      </c>
      <c r="AC145" s="49">
        <f t="shared" si="19"/>
        <v>0</v>
      </c>
      <c r="AD145" t="s">
        <v>743</v>
      </c>
    </row>
    <row r="146" spans="1:30">
      <c r="A146" s="64" t="s">
        <v>411</v>
      </c>
      <c r="B146" s="64" t="s">
        <v>140</v>
      </c>
      <c r="C146" s="64" t="s">
        <v>141</v>
      </c>
      <c r="D146" s="64">
        <v>0</v>
      </c>
      <c r="E146" s="64">
        <v>90000</v>
      </c>
      <c r="F146" s="64">
        <f t="shared" si="20"/>
        <v>90000</v>
      </c>
      <c r="G146" s="64" t="s">
        <v>55</v>
      </c>
      <c r="H146" s="65">
        <f t="shared" si="21"/>
        <v>90000</v>
      </c>
      <c r="I146" s="65">
        <f>+H146</f>
        <v>90000</v>
      </c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49">
        <f t="shared" si="18"/>
        <v>90000</v>
      </c>
      <c r="AC146" s="49">
        <f t="shared" si="19"/>
        <v>0</v>
      </c>
      <c r="AD146" t="s">
        <v>743</v>
      </c>
    </row>
    <row r="147" spans="1:30">
      <c r="A147" s="64" t="s">
        <v>411</v>
      </c>
      <c r="B147" s="64" t="s">
        <v>10</v>
      </c>
      <c r="C147" s="64" t="s">
        <v>11</v>
      </c>
      <c r="D147" s="64">
        <v>9090.91</v>
      </c>
      <c r="E147" s="64">
        <v>100000</v>
      </c>
      <c r="F147" s="64">
        <f t="shared" si="20"/>
        <v>90909.09</v>
      </c>
      <c r="G147" s="64" t="s">
        <v>8</v>
      </c>
      <c r="H147" s="65">
        <f t="shared" si="21"/>
        <v>100000</v>
      </c>
      <c r="I147" s="65">
        <f>+H147</f>
        <v>100000</v>
      </c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49">
        <f t="shared" si="18"/>
        <v>100000</v>
      </c>
      <c r="AC147" s="49">
        <f t="shared" si="19"/>
        <v>0</v>
      </c>
      <c r="AD147" t="s">
        <v>743</v>
      </c>
    </row>
    <row r="148" spans="1:30">
      <c r="A148" s="64" t="s">
        <v>411</v>
      </c>
      <c r="B148" s="64" t="s">
        <v>412</v>
      </c>
      <c r="C148" s="64" t="s">
        <v>413</v>
      </c>
      <c r="D148" s="64">
        <v>202181.81818199999</v>
      </c>
      <c r="E148" s="64">
        <v>2224000</v>
      </c>
      <c r="F148" s="64">
        <f t="shared" si="20"/>
        <v>2021818.181818</v>
      </c>
      <c r="G148" s="64" t="s">
        <v>8</v>
      </c>
      <c r="H148" s="65">
        <f t="shared" si="21"/>
        <v>2224000</v>
      </c>
      <c r="I148" s="64"/>
      <c r="J148" s="64"/>
      <c r="K148" s="64"/>
      <c r="L148" s="64"/>
      <c r="M148" s="64"/>
      <c r="N148" s="64"/>
      <c r="O148" s="65">
        <f>+H148</f>
        <v>2224000</v>
      </c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49">
        <f t="shared" si="18"/>
        <v>2224000</v>
      </c>
      <c r="AC148" s="49">
        <f t="shared" si="19"/>
        <v>0</v>
      </c>
      <c r="AD148" t="s">
        <v>743</v>
      </c>
    </row>
    <row r="149" spans="1:30">
      <c r="A149" s="64" t="s">
        <v>411</v>
      </c>
      <c r="B149" s="64" t="s">
        <v>64</v>
      </c>
      <c r="C149" s="64" t="s">
        <v>65</v>
      </c>
      <c r="D149" s="64">
        <v>0</v>
      </c>
      <c r="E149" s="64">
        <v>8547533.3100000005</v>
      </c>
      <c r="F149" s="64">
        <f t="shared" si="20"/>
        <v>8547533.3100000005</v>
      </c>
      <c r="G149" s="64" t="s">
        <v>55</v>
      </c>
      <c r="H149" s="65">
        <f t="shared" si="21"/>
        <v>8547533.3100000005</v>
      </c>
      <c r="I149" s="64"/>
      <c r="J149" s="65">
        <f>+H149</f>
        <v>8547533.3100000005</v>
      </c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49">
        <f t="shared" si="18"/>
        <v>8547533.3100000005</v>
      </c>
      <c r="AC149" s="49">
        <f t="shared" si="19"/>
        <v>0</v>
      </c>
      <c r="AD149" t="s">
        <v>743</v>
      </c>
    </row>
    <row r="150" spans="1:30">
      <c r="A150" s="64" t="s">
        <v>1166</v>
      </c>
      <c r="B150" s="64" t="s">
        <v>1107</v>
      </c>
      <c r="C150" s="64" t="s">
        <v>1106</v>
      </c>
      <c r="D150" s="64"/>
      <c r="E150" s="64"/>
      <c r="F150" s="64"/>
      <c r="G150" s="64"/>
      <c r="H150" s="65">
        <v>200</v>
      </c>
      <c r="I150" s="64">
        <f>+H150</f>
        <v>200</v>
      </c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49">
        <f t="shared" si="18"/>
        <v>200</v>
      </c>
      <c r="AC150" s="49">
        <f t="shared" si="19"/>
        <v>0</v>
      </c>
    </row>
    <row r="151" spans="1:30">
      <c r="A151" s="64" t="s">
        <v>1166</v>
      </c>
      <c r="B151" s="64" t="s">
        <v>943</v>
      </c>
      <c r="C151" s="64" t="s">
        <v>1109</v>
      </c>
      <c r="D151" s="64"/>
      <c r="E151" s="64"/>
      <c r="F151" s="64"/>
      <c r="G151" s="64"/>
      <c r="H151" s="65">
        <v>200</v>
      </c>
      <c r="I151" s="64">
        <f>+H151</f>
        <v>200</v>
      </c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49">
        <f t="shared" si="18"/>
        <v>200</v>
      </c>
      <c r="AC151" s="49">
        <f t="shared" si="19"/>
        <v>0</v>
      </c>
    </row>
    <row r="152" spans="1:30">
      <c r="A152" s="64" t="s">
        <v>1166</v>
      </c>
      <c r="B152" s="64" t="s">
        <v>943</v>
      </c>
      <c r="C152" s="64" t="s">
        <v>1110</v>
      </c>
      <c r="D152" s="64"/>
      <c r="E152" s="64"/>
      <c r="F152" s="64"/>
      <c r="G152" s="64"/>
      <c r="H152" s="65">
        <v>20000</v>
      </c>
      <c r="I152" s="64"/>
      <c r="J152" s="64"/>
      <c r="K152" s="64"/>
      <c r="L152" s="64"/>
      <c r="M152" s="64"/>
      <c r="N152" s="64"/>
      <c r="O152" s="64"/>
      <c r="P152" s="64">
        <v>20000</v>
      </c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49">
        <f t="shared" si="18"/>
        <v>20000</v>
      </c>
      <c r="AC152" s="49">
        <f t="shared" si="19"/>
        <v>0</v>
      </c>
    </row>
    <row r="153" spans="1:30">
      <c r="A153" s="64" t="s">
        <v>1166</v>
      </c>
      <c r="B153" s="64" t="s">
        <v>1107</v>
      </c>
      <c r="C153" s="64" t="s">
        <v>1108</v>
      </c>
      <c r="D153" s="64"/>
      <c r="E153" s="64"/>
      <c r="F153" s="64"/>
      <c r="G153" s="64"/>
      <c r="H153" s="65">
        <v>84000</v>
      </c>
      <c r="I153" s="64">
        <f>+H153</f>
        <v>84000</v>
      </c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49">
        <f t="shared" si="18"/>
        <v>84000</v>
      </c>
      <c r="AC153" s="49">
        <f t="shared" si="19"/>
        <v>0</v>
      </c>
    </row>
    <row r="154" spans="1:30">
      <c r="A154" s="64" t="s">
        <v>408</v>
      </c>
      <c r="B154" s="64" t="s">
        <v>1043</v>
      </c>
      <c r="C154" s="64" t="s">
        <v>1111</v>
      </c>
      <c r="D154" s="64"/>
      <c r="E154" s="64"/>
      <c r="F154" s="64"/>
      <c r="G154" s="64"/>
      <c r="H154" s="65">
        <v>200</v>
      </c>
      <c r="I154" s="64">
        <f>+H154</f>
        <v>200</v>
      </c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49">
        <f t="shared" si="18"/>
        <v>200</v>
      </c>
      <c r="AC154" s="49">
        <f t="shared" si="19"/>
        <v>0</v>
      </c>
    </row>
    <row r="155" spans="1:30">
      <c r="A155" s="64" t="s">
        <v>408</v>
      </c>
      <c r="B155" s="64" t="s">
        <v>1113</v>
      </c>
      <c r="C155" s="64" t="s">
        <v>1112</v>
      </c>
      <c r="D155" s="64"/>
      <c r="E155" s="64"/>
      <c r="F155" s="64"/>
      <c r="G155" s="64"/>
      <c r="H155" s="65">
        <v>200</v>
      </c>
      <c r="I155" s="64">
        <f>+H155</f>
        <v>200</v>
      </c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49">
        <f t="shared" si="18"/>
        <v>200</v>
      </c>
      <c r="AC155" s="49">
        <f t="shared" si="19"/>
        <v>0</v>
      </c>
    </row>
    <row r="156" spans="1:30">
      <c r="A156" s="64" t="s">
        <v>408</v>
      </c>
      <c r="B156" s="64" t="s">
        <v>103</v>
      </c>
      <c r="C156" s="64" t="s">
        <v>104</v>
      </c>
      <c r="D156" s="64">
        <v>1272.73</v>
      </c>
      <c r="E156" s="64">
        <v>14000</v>
      </c>
      <c r="F156" s="64">
        <f>+E156-D156</f>
        <v>12727.27</v>
      </c>
      <c r="G156" s="64" t="s">
        <v>8</v>
      </c>
      <c r="H156" s="65">
        <f>+E156</f>
        <v>14000</v>
      </c>
      <c r="I156" s="82"/>
      <c r="J156" s="64"/>
      <c r="K156" s="64"/>
      <c r="L156" s="64"/>
      <c r="M156" s="64">
        <v>14000</v>
      </c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49">
        <f t="shared" si="18"/>
        <v>14000</v>
      </c>
      <c r="AC156" s="49">
        <f t="shared" si="19"/>
        <v>0</v>
      </c>
      <c r="AD156" t="s">
        <v>743</v>
      </c>
    </row>
    <row r="157" spans="1:30">
      <c r="A157" s="64" t="s">
        <v>408</v>
      </c>
      <c r="B157" s="64" t="s">
        <v>249</v>
      </c>
      <c r="C157" s="64" t="s">
        <v>250</v>
      </c>
      <c r="D157" s="64">
        <v>1900</v>
      </c>
      <c r="E157" s="64">
        <v>20900</v>
      </c>
      <c r="F157" s="64">
        <f>+E157-D157</f>
        <v>19000</v>
      </c>
      <c r="G157" s="64" t="s">
        <v>8</v>
      </c>
      <c r="H157" s="65">
        <f>+E157</f>
        <v>20900</v>
      </c>
      <c r="I157" s="65"/>
      <c r="J157" s="64"/>
      <c r="K157" s="82"/>
      <c r="L157" s="64"/>
      <c r="M157" s="65">
        <f>+H157</f>
        <v>20900</v>
      </c>
      <c r="N157" s="64"/>
      <c r="O157" s="8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49">
        <f t="shared" si="18"/>
        <v>20900</v>
      </c>
      <c r="AC157" s="49">
        <f t="shared" si="19"/>
        <v>0</v>
      </c>
      <c r="AD157" t="s">
        <v>743</v>
      </c>
    </row>
    <row r="158" spans="1:30">
      <c r="A158" s="64" t="s">
        <v>408</v>
      </c>
      <c r="B158" s="64" t="s">
        <v>249</v>
      </c>
      <c r="C158" s="64" t="s">
        <v>250</v>
      </c>
      <c r="D158" s="64">
        <v>4400</v>
      </c>
      <c r="E158" s="64">
        <v>48400</v>
      </c>
      <c r="F158" s="64">
        <f>+E158-D158</f>
        <v>44000</v>
      </c>
      <c r="G158" s="64" t="s">
        <v>8</v>
      </c>
      <c r="H158" s="65">
        <f>+E158</f>
        <v>48400</v>
      </c>
      <c r="I158" s="64"/>
      <c r="J158" s="64"/>
      <c r="K158" s="64"/>
      <c r="L158" s="64"/>
      <c r="M158" s="64"/>
      <c r="N158" s="64"/>
      <c r="O158" s="65">
        <f>+H158</f>
        <v>48400</v>
      </c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49">
        <f t="shared" si="18"/>
        <v>48400</v>
      </c>
      <c r="AC158" s="49">
        <f t="shared" si="19"/>
        <v>0</v>
      </c>
      <c r="AD158" t="s">
        <v>743</v>
      </c>
    </row>
    <row r="159" spans="1:30">
      <c r="A159" s="64" t="s">
        <v>408</v>
      </c>
      <c r="B159" s="64" t="s">
        <v>409</v>
      </c>
      <c r="C159" s="64" t="s">
        <v>410</v>
      </c>
      <c r="D159" s="64">
        <v>108000</v>
      </c>
      <c r="E159" s="64">
        <v>1188000</v>
      </c>
      <c r="F159" s="64">
        <f>+E159-D159</f>
        <v>1080000</v>
      </c>
      <c r="G159" s="64" t="s">
        <v>8</v>
      </c>
      <c r="H159" s="65">
        <f>+E159</f>
        <v>1188000</v>
      </c>
      <c r="I159" s="64"/>
      <c r="J159" s="64"/>
      <c r="K159" s="64"/>
      <c r="L159" s="64"/>
      <c r="M159" s="64"/>
      <c r="N159" s="64"/>
      <c r="O159" s="65">
        <f>+H159</f>
        <v>1188000</v>
      </c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49">
        <f t="shared" si="18"/>
        <v>1188000</v>
      </c>
      <c r="AC159" s="49">
        <f t="shared" si="19"/>
        <v>0</v>
      </c>
      <c r="AD159" t="s">
        <v>743</v>
      </c>
    </row>
    <row r="160" spans="1:30">
      <c r="A160" s="64" t="s">
        <v>407</v>
      </c>
      <c r="B160" s="64" t="s">
        <v>974</v>
      </c>
      <c r="C160" s="64" t="s">
        <v>1114</v>
      </c>
      <c r="D160" s="64"/>
      <c r="E160" s="64"/>
      <c r="F160" s="64"/>
      <c r="G160" s="64"/>
      <c r="H160" s="65">
        <v>200</v>
      </c>
      <c r="I160" s="64">
        <f>+H160</f>
        <v>200</v>
      </c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49">
        <f t="shared" si="18"/>
        <v>200</v>
      </c>
      <c r="AC160" s="49">
        <f t="shared" si="19"/>
        <v>0</v>
      </c>
    </row>
    <row r="161" spans="1:30">
      <c r="A161" s="64" t="s">
        <v>407</v>
      </c>
      <c r="B161" s="64" t="s">
        <v>934</v>
      </c>
      <c r="C161" s="64" t="s">
        <v>1115</v>
      </c>
      <c r="D161" s="64"/>
      <c r="E161" s="64"/>
      <c r="F161" s="64"/>
      <c r="G161" s="64"/>
      <c r="H161" s="65">
        <v>200</v>
      </c>
      <c r="I161" s="61">
        <f>+H161</f>
        <v>200</v>
      </c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49">
        <f t="shared" si="18"/>
        <v>200</v>
      </c>
      <c r="AC161" s="49">
        <f t="shared" si="19"/>
        <v>0</v>
      </c>
    </row>
    <row r="162" spans="1:30">
      <c r="A162" s="64" t="s">
        <v>407</v>
      </c>
      <c r="B162" s="64" t="s">
        <v>934</v>
      </c>
      <c r="C162" s="64" t="s">
        <v>1116</v>
      </c>
      <c r="D162" s="64"/>
      <c r="E162" s="64"/>
      <c r="F162" s="64"/>
      <c r="G162" s="64"/>
      <c r="H162" s="65">
        <v>60000</v>
      </c>
      <c r="I162" s="64">
        <v>60000</v>
      </c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49">
        <f t="shared" si="18"/>
        <v>60000</v>
      </c>
      <c r="AC162" s="49">
        <f t="shared" si="19"/>
        <v>0</v>
      </c>
    </row>
    <row r="163" spans="1:30">
      <c r="A163" s="64" t="s">
        <v>407</v>
      </c>
      <c r="B163" s="64" t="s">
        <v>241</v>
      </c>
      <c r="C163" s="64" t="s">
        <v>242</v>
      </c>
      <c r="D163" s="64">
        <v>6000</v>
      </c>
      <c r="E163" s="64">
        <v>66000</v>
      </c>
      <c r="F163" s="64">
        <f>+E163-D163</f>
        <v>60000</v>
      </c>
      <c r="G163" s="64" t="s">
        <v>8</v>
      </c>
      <c r="H163" s="65">
        <f>+E163</f>
        <v>66000</v>
      </c>
      <c r="I163" s="65"/>
      <c r="J163" s="64"/>
      <c r="K163" s="64"/>
      <c r="L163" s="64"/>
      <c r="M163" s="65">
        <f>+H163</f>
        <v>66000</v>
      </c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49">
        <f t="shared" si="18"/>
        <v>66000</v>
      </c>
      <c r="AC163" s="49">
        <f t="shared" si="19"/>
        <v>0</v>
      </c>
      <c r="AD163" t="s">
        <v>743</v>
      </c>
    </row>
    <row r="164" spans="1:30">
      <c r="A164" s="64" t="s">
        <v>407</v>
      </c>
      <c r="B164" s="64" t="s">
        <v>10</v>
      </c>
      <c r="C164" s="64" t="s">
        <v>11</v>
      </c>
      <c r="D164" s="64">
        <v>12381.09</v>
      </c>
      <c r="E164" s="64">
        <v>136192</v>
      </c>
      <c r="F164" s="64">
        <f>+E164-D164</f>
        <v>123810.91</v>
      </c>
      <c r="G164" s="64" t="s">
        <v>8</v>
      </c>
      <c r="H164" s="65">
        <f>+E164</f>
        <v>136192</v>
      </c>
      <c r="I164" s="84"/>
      <c r="J164" s="64"/>
      <c r="K164" s="64"/>
      <c r="L164" s="64"/>
      <c r="M164" s="64"/>
      <c r="N164" s="64"/>
      <c r="O164" s="64"/>
      <c r="P164" s="65">
        <f>+H164</f>
        <v>136192</v>
      </c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49">
        <f>SUM(J164:AA164)</f>
        <v>136192</v>
      </c>
      <c r="AC164" s="49">
        <f t="shared" si="19"/>
        <v>0</v>
      </c>
      <c r="AD164" t="s">
        <v>743</v>
      </c>
    </row>
    <row r="165" spans="1:30">
      <c r="A165" s="64" t="s">
        <v>407</v>
      </c>
      <c r="B165" s="64" t="s">
        <v>243</v>
      </c>
      <c r="C165" s="64" t="s">
        <v>244</v>
      </c>
      <c r="D165" s="64">
        <v>18409.090908999999</v>
      </c>
      <c r="E165" s="64">
        <v>202500</v>
      </c>
      <c r="F165" s="64">
        <f>+E165-D165</f>
        <v>184090.90909100001</v>
      </c>
      <c r="G165" s="64" t="s">
        <v>8</v>
      </c>
      <c r="H165" s="65">
        <f>+E165</f>
        <v>202500</v>
      </c>
      <c r="I165" s="79"/>
      <c r="J165" s="64"/>
      <c r="K165" s="82"/>
      <c r="L165" s="64"/>
      <c r="M165" s="64"/>
      <c r="N165" s="64"/>
      <c r="O165" s="65">
        <f>+H165</f>
        <v>202500</v>
      </c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49">
        <f>SUM(I165:AA165)</f>
        <v>202500</v>
      </c>
      <c r="AC165" s="49">
        <f t="shared" si="19"/>
        <v>0</v>
      </c>
      <c r="AD165" t="s">
        <v>743</v>
      </c>
    </row>
    <row r="166" spans="1:30">
      <c r="A166" s="64" t="s">
        <v>407</v>
      </c>
      <c r="B166" s="64" t="s">
        <v>405</v>
      </c>
      <c r="C166" s="64" t="s">
        <v>406</v>
      </c>
      <c r="D166" s="64">
        <v>94909.090909000006</v>
      </c>
      <c r="E166" s="64">
        <v>1044000</v>
      </c>
      <c r="F166" s="64">
        <f>+E166-D166</f>
        <v>949090.90909099998</v>
      </c>
      <c r="G166" s="64" t="s">
        <v>8</v>
      </c>
      <c r="H166" s="65">
        <f>+E166</f>
        <v>1044000</v>
      </c>
      <c r="I166" s="79"/>
      <c r="J166" s="64"/>
      <c r="K166" s="64"/>
      <c r="L166" s="64"/>
      <c r="M166" s="82"/>
      <c r="N166" s="64"/>
      <c r="O166" s="65">
        <f>+H166</f>
        <v>1044000</v>
      </c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49">
        <f>SUM(I166:AA166)</f>
        <v>1044000</v>
      </c>
      <c r="AC166" s="49">
        <f t="shared" si="19"/>
        <v>0</v>
      </c>
      <c r="AD166" t="s">
        <v>743</v>
      </c>
    </row>
    <row r="167" spans="1:30">
      <c r="A167" s="64" t="s">
        <v>400</v>
      </c>
      <c r="B167" s="64" t="s">
        <v>515</v>
      </c>
      <c r="C167" s="64" t="s">
        <v>992</v>
      </c>
      <c r="D167" s="64"/>
      <c r="E167" s="64"/>
      <c r="F167" s="64"/>
      <c r="G167" s="64"/>
      <c r="H167" s="65">
        <v>100</v>
      </c>
      <c r="I167" s="64">
        <f>+H167</f>
        <v>100</v>
      </c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49">
        <f>SUM(I167:AA167)</f>
        <v>100</v>
      </c>
      <c r="AC167" s="49">
        <f t="shared" si="19"/>
        <v>0</v>
      </c>
    </row>
    <row r="168" spans="1:30">
      <c r="A168" s="64" t="s">
        <v>400</v>
      </c>
      <c r="B168" s="64" t="s">
        <v>1118</v>
      </c>
      <c r="C168" s="64" t="s">
        <v>1117</v>
      </c>
      <c r="D168" s="64"/>
      <c r="E168" s="64"/>
      <c r="F168" s="64"/>
      <c r="G168" s="64"/>
      <c r="H168" s="65">
        <v>200</v>
      </c>
      <c r="I168" s="61">
        <f>+H168</f>
        <v>200</v>
      </c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49">
        <f>SUM(I168:AA168)</f>
        <v>200</v>
      </c>
      <c r="AC168" s="49">
        <f t="shared" si="19"/>
        <v>0</v>
      </c>
    </row>
    <row r="169" spans="1:30">
      <c r="A169" s="64" t="s">
        <v>400</v>
      </c>
      <c r="B169" s="64" t="s">
        <v>1121</v>
      </c>
      <c r="C169" s="64" t="s">
        <v>1120</v>
      </c>
      <c r="D169" s="64"/>
      <c r="E169" s="64"/>
      <c r="F169" s="64"/>
      <c r="G169" s="64"/>
      <c r="H169" s="65">
        <v>200</v>
      </c>
      <c r="I169" s="64">
        <f>+H169</f>
        <v>200</v>
      </c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49">
        <f>SUM(I169:AA169)</f>
        <v>200</v>
      </c>
      <c r="AC169" s="49">
        <f t="shared" si="19"/>
        <v>0</v>
      </c>
    </row>
    <row r="170" spans="1:30">
      <c r="A170" s="64" t="s">
        <v>400</v>
      </c>
      <c r="B170" s="64" t="s">
        <v>403</v>
      </c>
      <c r="C170" s="64" t="s">
        <v>404</v>
      </c>
      <c r="D170" s="64">
        <v>909.09090900000001</v>
      </c>
      <c r="E170" s="64">
        <v>10000</v>
      </c>
      <c r="F170" s="64">
        <f>+E170-D170</f>
        <v>9090.9090909999995</v>
      </c>
      <c r="G170" s="64" t="s">
        <v>8</v>
      </c>
      <c r="H170" s="65">
        <f>+E170</f>
        <v>10000</v>
      </c>
      <c r="I170" s="84"/>
      <c r="J170" s="64"/>
      <c r="K170" s="64"/>
      <c r="L170" s="64"/>
      <c r="M170" s="64"/>
      <c r="N170" s="64"/>
      <c r="O170" s="82">
        <f>+H170</f>
        <v>10000</v>
      </c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49">
        <f>SUM(J170:AA170)</f>
        <v>10000</v>
      </c>
      <c r="AC170" s="49">
        <f t="shared" si="19"/>
        <v>0</v>
      </c>
      <c r="AD170" t="s">
        <v>743</v>
      </c>
    </row>
    <row r="171" spans="1:30">
      <c r="A171" s="64" t="s">
        <v>400</v>
      </c>
      <c r="B171" s="64" t="s">
        <v>125</v>
      </c>
      <c r="C171" s="64" t="s">
        <v>126</v>
      </c>
      <c r="D171" s="64">
        <v>0</v>
      </c>
      <c r="E171" s="64">
        <v>48000</v>
      </c>
      <c r="F171" s="64">
        <f>+E171-D171</f>
        <v>48000</v>
      </c>
      <c r="G171" s="64" t="s">
        <v>55</v>
      </c>
      <c r="H171" s="65">
        <f>+E171</f>
        <v>48000</v>
      </c>
      <c r="I171" s="64"/>
      <c r="J171" s="64"/>
      <c r="K171" s="64"/>
      <c r="L171" s="64"/>
      <c r="M171" s="65">
        <f>+H171</f>
        <v>48000</v>
      </c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49">
        <f t="shared" ref="AB171:AB202" si="22">SUM(I171:AA171)</f>
        <v>48000</v>
      </c>
      <c r="AC171" s="49">
        <f t="shared" si="19"/>
        <v>0</v>
      </c>
      <c r="AD171" t="s">
        <v>743</v>
      </c>
    </row>
    <row r="172" spans="1:30">
      <c r="A172" s="64" t="s">
        <v>400</v>
      </c>
      <c r="B172" s="64" t="s">
        <v>401</v>
      </c>
      <c r="C172" s="64" t="s">
        <v>402</v>
      </c>
      <c r="D172" s="64">
        <v>9454.5499999999993</v>
      </c>
      <c r="E172" s="64">
        <v>104000</v>
      </c>
      <c r="F172" s="64">
        <f>+E172-D172</f>
        <v>94545.45</v>
      </c>
      <c r="G172" s="64" t="s">
        <v>8</v>
      </c>
      <c r="H172" s="65">
        <f>+E172</f>
        <v>104000</v>
      </c>
      <c r="I172" s="64"/>
      <c r="J172" s="64"/>
      <c r="K172" s="64"/>
      <c r="L172" s="64"/>
      <c r="M172" s="64"/>
      <c r="N172" s="64"/>
      <c r="O172" s="65">
        <f>+H172</f>
        <v>104000</v>
      </c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49">
        <f t="shared" si="22"/>
        <v>104000</v>
      </c>
      <c r="AC172" s="49">
        <f t="shared" si="19"/>
        <v>0</v>
      </c>
      <c r="AD172" t="s">
        <v>743</v>
      </c>
    </row>
    <row r="173" spans="1:30">
      <c r="A173" s="64" t="s">
        <v>400</v>
      </c>
      <c r="B173" s="64" t="s">
        <v>78</v>
      </c>
      <c r="C173" s="64" t="s">
        <v>79</v>
      </c>
      <c r="D173" s="64">
        <v>13377.27</v>
      </c>
      <c r="E173" s="64">
        <v>147150</v>
      </c>
      <c r="F173" s="64">
        <f>+E173-D173</f>
        <v>133772.73000000001</v>
      </c>
      <c r="G173" s="64" t="s">
        <v>8</v>
      </c>
      <c r="H173" s="65">
        <f>+E173</f>
        <v>147150</v>
      </c>
      <c r="I173" s="64"/>
      <c r="J173" s="65"/>
      <c r="K173" s="82">
        <f>+H173</f>
        <v>147150</v>
      </c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49">
        <f t="shared" si="22"/>
        <v>147150</v>
      </c>
      <c r="AC173" s="49">
        <f t="shared" si="19"/>
        <v>0</v>
      </c>
      <c r="AD173" t="s">
        <v>743</v>
      </c>
    </row>
    <row r="174" spans="1:30">
      <c r="A174" s="64" t="s">
        <v>400</v>
      </c>
      <c r="B174" s="64" t="s">
        <v>10</v>
      </c>
      <c r="C174" s="64" t="s">
        <v>11</v>
      </c>
      <c r="D174" s="64">
        <v>14179.09</v>
      </c>
      <c r="E174" s="64">
        <v>155970</v>
      </c>
      <c r="F174" s="64">
        <f>+E174-D174</f>
        <v>141790.91</v>
      </c>
      <c r="G174" s="64" t="s">
        <v>8</v>
      </c>
      <c r="H174" s="65">
        <f>+E174</f>
        <v>155970</v>
      </c>
      <c r="I174" s="65">
        <f>+H174</f>
        <v>155970</v>
      </c>
      <c r="J174" s="64"/>
      <c r="K174" s="82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49">
        <f t="shared" si="22"/>
        <v>155970</v>
      </c>
      <c r="AC174" s="49">
        <f t="shared" si="19"/>
        <v>0</v>
      </c>
      <c r="AD174" t="s">
        <v>743</v>
      </c>
    </row>
    <row r="175" spans="1:30">
      <c r="A175" s="64" t="s">
        <v>400</v>
      </c>
      <c r="B175" s="64" t="s">
        <v>1118</v>
      </c>
      <c r="C175" s="64" t="s">
        <v>1119</v>
      </c>
      <c r="D175" s="64"/>
      <c r="E175" s="64"/>
      <c r="F175" s="64"/>
      <c r="G175" s="64"/>
      <c r="H175" s="65">
        <v>180000</v>
      </c>
      <c r="I175" s="64"/>
      <c r="J175" s="64"/>
      <c r="K175" s="64"/>
      <c r="L175" s="64"/>
      <c r="M175" s="64"/>
      <c r="N175" s="64"/>
      <c r="O175" s="64">
        <v>180000</v>
      </c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49">
        <f t="shared" si="22"/>
        <v>180000</v>
      </c>
      <c r="AC175" s="49">
        <f t="shared" si="19"/>
        <v>0</v>
      </c>
    </row>
    <row r="176" spans="1:30">
      <c r="A176" s="64" t="s">
        <v>400</v>
      </c>
      <c r="B176" s="64" t="s">
        <v>405</v>
      </c>
      <c r="C176" s="64" t="s">
        <v>406</v>
      </c>
      <c r="D176" s="64">
        <v>39109.090908999999</v>
      </c>
      <c r="E176" s="64">
        <v>430200</v>
      </c>
      <c r="F176" s="64">
        <f>+E176-D176</f>
        <v>391090.90909099998</v>
      </c>
      <c r="G176" s="64" t="s">
        <v>8</v>
      </c>
      <c r="H176" s="65">
        <f>+E176</f>
        <v>430200</v>
      </c>
      <c r="I176" s="82"/>
      <c r="J176" s="64"/>
      <c r="K176" s="64"/>
      <c r="L176" s="64"/>
      <c r="M176" s="64"/>
      <c r="N176" s="64"/>
      <c r="O176" s="65">
        <f>+H176</f>
        <v>430200</v>
      </c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49">
        <f t="shared" si="22"/>
        <v>430200</v>
      </c>
      <c r="AC176" s="49">
        <f t="shared" si="19"/>
        <v>0</v>
      </c>
      <c r="AD176" t="s">
        <v>743</v>
      </c>
    </row>
    <row r="177" spans="1:30">
      <c r="A177" s="64" t="s">
        <v>397</v>
      </c>
      <c r="B177" s="64" t="s">
        <v>103</v>
      </c>
      <c r="C177" s="64" t="s">
        <v>104</v>
      </c>
      <c r="D177" s="64">
        <v>1467.27</v>
      </c>
      <c r="E177" s="64">
        <v>16140</v>
      </c>
      <c r="F177" s="64">
        <f>+E177-D177</f>
        <v>14672.73</v>
      </c>
      <c r="G177" s="64" t="s">
        <v>8</v>
      </c>
      <c r="H177" s="65">
        <f>+E177</f>
        <v>16140</v>
      </c>
      <c r="I177" s="65"/>
      <c r="J177" s="65"/>
      <c r="K177" s="65"/>
      <c r="L177" s="64"/>
      <c r="M177" s="65">
        <f>+H177</f>
        <v>16140</v>
      </c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49">
        <f t="shared" si="22"/>
        <v>16140</v>
      </c>
      <c r="AC177" s="49">
        <f t="shared" si="19"/>
        <v>0</v>
      </c>
      <c r="AD177" t="s">
        <v>743</v>
      </c>
    </row>
    <row r="178" spans="1:30">
      <c r="A178" s="64" t="s">
        <v>397</v>
      </c>
      <c r="B178" s="64" t="s">
        <v>398</v>
      </c>
      <c r="C178" s="64" t="s">
        <v>399</v>
      </c>
      <c r="D178" s="64">
        <v>24607.14</v>
      </c>
      <c r="E178" s="64">
        <v>275600</v>
      </c>
      <c r="F178" s="64">
        <f>+E178-D178</f>
        <v>250992.86</v>
      </c>
      <c r="G178" s="64" t="s">
        <v>8</v>
      </c>
      <c r="H178" s="65">
        <f>+E178</f>
        <v>275600</v>
      </c>
      <c r="I178" s="65"/>
      <c r="J178" s="64"/>
      <c r="K178" s="64"/>
      <c r="L178" s="64"/>
      <c r="M178" s="82"/>
      <c r="N178" s="64"/>
      <c r="O178" s="65">
        <f>+H178</f>
        <v>275600</v>
      </c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49">
        <f t="shared" si="22"/>
        <v>275600</v>
      </c>
      <c r="AC178" s="49">
        <f t="shared" si="19"/>
        <v>0</v>
      </c>
      <c r="AD178" t="s">
        <v>743</v>
      </c>
    </row>
    <row r="179" spans="1:30">
      <c r="A179" s="64" t="s">
        <v>388</v>
      </c>
      <c r="B179" s="64" t="s">
        <v>947</v>
      </c>
      <c r="C179" s="64" t="s">
        <v>1122</v>
      </c>
      <c r="D179" s="64"/>
      <c r="E179" s="64"/>
      <c r="F179" s="64"/>
      <c r="G179" s="64"/>
      <c r="H179" s="65">
        <v>200</v>
      </c>
      <c r="I179" s="64">
        <f t="shared" ref="I179:I184" si="23">+H179</f>
        <v>200</v>
      </c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49">
        <f t="shared" si="22"/>
        <v>200</v>
      </c>
      <c r="AC179" s="49">
        <f t="shared" si="19"/>
        <v>0</v>
      </c>
    </row>
    <row r="180" spans="1:30">
      <c r="A180" s="64" t="s">
        <v>388</v>
      </c>
      <c r="B180" s="64" t="s">
        <v>937</v>
      </c>
      <c r="C180" s="64" t="s">
        <v>1124</v>
      </c>
      <c r="D180" s="64"/>
      <c r="E180" s="64"/>
      <c r="F180" s="64"/>
      <c r="G180" s="64"/>
      <c r="H180" s="65">
        <v>200</v>
      </c>
      <c r="I180" s="64">
        <f t="shared" si="23"/>
        <v>200</v>
      </c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49">
        <f t="shared" si="22"/>
        <v>200</v>
      </c>
      <c r="AC180" s="49">
        <f t="shared" si="19"/>
        <v>0</v>
      </c>
    </row>
    <row r="181" spans="1:30">
      <c r="A181" s="64" t="s">
        <v>388</v>
      </c>
      <c r="B181" s="64" t="s">
        <v>1126</v>
      </c>
      <c r="C181" s="64" t="s">
        <v>1125</v>
      </c>
      <c r="D181" s="64"/>
      <c r="E181" s="64"/>
      <c r="F181" s="64"/>
      <c r="G181" s="64"/>
      <c r="H181" s="65">
        <v>200</v>
      </c>
      <c r="I181" s="64">
        <f t="shared" si="23"/>
        <v>200</v>
      </c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49">
        <f t="shared" si="22"/>
        <v>200</v>
      </c>
      <c r="AC181" s="49">
        <f t="shared" si="19"/>
        <v>0</v>
      </c>
    </row>
    <row r="182" spans="1:30">
      <c r="A182" s="64" t="s">
        <v>388</v>
      </c>
      <c r="B182" s="64" t="s">
        <v>1128</v>
      </c>
      <c r="C182" s="64" t="s">
        <v>1127</v>
      </c>
      <c r="D182" s="64"/>
      <c r="E182" s="64"/>
      <c r="F182" s="64"/>
      <c r="G182" s="64"/>
      <c r="H182" s="65">
        <v>200</v>
      </c>
      <c r="I182" s="64">
        <f t="shared" si="23"/>
        <v>200</v>
      </c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49">
        <f t="shared" si="22"/>
        <v>200</v>
      </c>
      <c r="AC182" s="49">
        <f t="shared" si="19"/>
        <v>0</v>
      </c>
    </row>
    <row r="183" spans="1:30">
      <c r="A183" s="64" t="s">
        <v>388</v>
      </c>
      <c r="B183" s="64" t="s">
        <v>1130</v>
      </c>
      <c r="C183" s="64" t="s">
        <v>1129</v>
      </c>
      <c r="D183" s="64"/>
      <c r="E183" s="64"/>
      <c r="F183" s="64"/>
      <c r="G183" s="64"/>
      <c r="H183" s="65">
        <v>200</v>
      </c>
      <c r="I183" s="64">
        <f t="shared" si="23"/>
        <v>200</v>
      </c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49">
        <f t="shared" si="22"/>
        <v>200</v>
      </c>
      <c r="AC183" s="49">
        <f t="shared" si="19"/>
        <v>0</v>
      </c>
    </row>
    <row r="184" spans="1:30">
      <c r="A184" s="64" t="s">
        <v>388</v>
      </c>
      <c r="B184" s="64" t="s">
        <v>103</v>
      </c>
      <c r="C184" s="64" t="s">
        <v>104</v>
      </c>
      <c r="D184" s="64">
        <v>763.64</v>
      </c>
      <c r="E184" s="64">
        <v>8400</v>
      </c>
      <c r="F184" s="64">
        <f t="shared" ref="F184:F191" si="24">+E184-D184</f>
        <v>7636.36</v>
      </c>
      <c r="G184" s="64" t="s">
        <v>8</v>
      </c>
      <c r="H184" s="65">
        <f t="shared" ref="H184:H191" si="25">+E184</f>
        <v>8400</v>
      </c>
      <c r="I184" s="65">
        <f t="shared" si="23"/>
        <v>8400</v>
      </c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49">
        <f t="shared" si="22"/>
        <v>8400</v>
      </c>
      <c r="AC184" s="49">
        <f t="shared" si="19"/>
        <v>0</v>
      </c>
      <c r="AD184" t="s">
        <v>743</v>
      </c>
    </row>
    <row r="185" spans="1:30">
      <c r="A185" s="64" t="s">
        <v>388</v>
      </c>
      <c r="B185" s="64" t="s">
        <v>393</v>
      </c>
      <c r="C185" s="64" t="s">
        <v>394</v>
      </c>
      <c r="D185" s="64">
        <v>0</v>
      </c>
      <c r="E185" s="64">
        <v>23100</v>
      </c>
      <c r="F185" s="64">
        <f t="shared" si="24"/>
        <v>23100</v>
      </c>
      <c r="G185" s="64" t="s">
        <v>8</v>
      </c>
      <c r="H185" s="65">
        <f t="shared" si="25"/>
        <v>23100</v>
      </c>
      <c r="I185" s="64"/>
      <c r="J185" s="64"/>
      <c r="K185" s="64"/>
      <c r="L185" s="64"/>
      <c r="M185" s="65">
        <f>+H185</f>
        <v>23100</v>
      </c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49">
        <f t="shared" si="22"/>
        <v>23100</v>
      </c>
      <c r="AC185" s="49">
        <f t="shared" si="19"/>
        <v>0</v>
      </c>
      <c r="AD185" t="s">
        <v>743</v>
      </c>
    </row>
    <row r="186" spans="1:30">
      <c r="A186" s="64" t="s">
        <v>388</v>
      </c>
      <c r="B186" s="64" t="s">
        <v>175</v>
      </c>
      <c r="C186" s="64" t="s">
        <v>176</v>
      </c>
      <c r="D186" s="64">
        <v>2509.09</v>
      </c>
      <c r="E186" s="64">
        <v>27600</v>
      </c>
      <c r="F186" s="64">
        <f t="shared" si="24"/>
        <v>25090.91</v>
      </c>
      <c r="G186" s="64" t="s">
        <v>8</v>
      </c>
      <c r="H186" s="65">
        <f t="shared" si="25"/>
        <v>27600</v>
      </c>
      <c r="I186" s="82">
        <f>+H186</f>
        <v>27600</v>
      </c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49">
        <f t="shared" si="22"/>
        <v>27600</v>
      </c>
      <c r="AC186" s="49">
        <f t="shared" si="19"/>
        <v>0</v>
      </c>
      <c r="AD186" t="s">
        <v>743</v>
      </c>
    </row>
    <row r="187" spans="1:30">
      <c r="A187" s="64" t="s">
        <v>388</v>
      </c>
      <c r="B187" s="64" t="s">
        <v>314</v>
      </c>
      <c r="C187" s="64" t="s">
        <v>315</v>
      </c>
      <c r="D187" s="64">
        <v>2890.909091</v>
      </c>
      <c r="E187" s="64">
        <v>31800</v>
      </c>
      <c r="F187" s="64">
        <f t="shared" si="24"/>
        <v>28909.090908999999</v>
      </c>
      <c r="G187" s="64" t="s">
        <v>8</v>
      </c>
      <c r="H187" s="65">
        <f t="shared" si="25"/>
        <v>31800</v>
      </c>
      <c r="I187" s="65"/>
      <c r="J187" s="64"/>
      <c r="K187" s="64">
        <v>31800</v>
      </c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49">
        <f t="shared" si="22"/>
        <v>31800</v>
      </c>
      <c r="AC187" s="49">
        <f t="shared" si="19"/>
        <v>0</v>
      </c>
      <c r="AD187" t="s">
        <v>743</v>
      </c>
    </row>
    <row r="188" spans="1:30">
      <c r="A188" s="64" t="s">
        <v>388</v>
      </c>
      <c r="B188" s="64" t="s">
        <v>82</v>
      </c>
      <c r="C188" s="64" t="s">
        <v>83</v>
      </c>
      <c r="D188" s="64">
        <v>0</v>
      </c>
      <c r="E188" s="64">
        <v>33100</v>
      </c>
      <c r="F188" s="64">
        <f t="shared" si="24"/>
        <v>33100</v>
      </c>
      <c r="G188" s="64" t="s">
        <v>8</v>
      </c>
      <c r="H188" s="65">
        <f t="shared" si="25"/>
        <v>33100</v>
      </c>
      <c r="I188" s="65"/>
      <c r="J188" s="64"/>
      <c r="K188" s="64"/>
      <c r="L188" s="64"/>
      <c r="M188" s="64">
        <v>33100</v>
      </c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49">
        <f t="shared" si="22"/>
        <v>33100</v>
      </c>
      <c r="AC188" s="49">
        <f t="shared" si="19"/>
        <v>0</v>
      </c>
      <c r="AD188" t="s">
        <v>743</v>
      </c>
    </row>
    <row r="189" spans="1:30">
      <c r="A189" s="64" t="s">
        <v>388</v>
      </c>
      <c r="B189" s="64" t="s">
        <v>389</v>
      </c>
      <c r="C189" s="64" t="s">
        <v>390</v>
      </c>
      <c r="D189" s="64">
        <v>7363.64</v>
      </c>
      <c r="E189" s="64">
        <v>81000</v>
      </c>
      <c r="F189" s="64">
        <f t="shared" si="24"/>
        <v>73636.36</v>
      </c>
      <c r="G189" s="64" t="s">
        <v>8</v>
      </c>
      <c r="H189" s="65">
        <f t="shared" si="25"/>
        <v>81000</v>
      </c>
      <c r="I189" s="82"/>
      <c r="J189" s="64"/>
      <c r="K189" s="65">
        <f>+H189</f>
        <v>81000</v>
      </c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49">
        <f t="shared" si="22"/>
        <v>81000</v>
      </c>
      <c r="AC189" s="49">
        <f t="shared" si="19"/>
        <v>0</v>
      </c>
      <c r="AD189" t="s">
        <v>743</v>
      </c>
    </row>
    <row r="190" spans="1:30">
      <c r="A190" s="64" t="s">
        <v>388</v>
      </c>
      <c r="B190" s="64" t="s">
        <v>103</v>
      </c>
      <c r="C190" s="64" t="s">
        <v>104</v>
      </c>
      <c r="D190" s="64">
        <v>7931.82</v>
      </c>
      <c r="E190" s="64">
        <v>87250</v>
      </c>
      <c r="F190" s="64">
        <f t="shared" si="24"/>
        <v>79318.179999999993</v>
      </c>
      <c r="G190" s="64" t="s">
        <v>8</v>
      </c>
      <c r="H190" s="65">
        <f t="shared" si="25"/>
        <v>87250</v>
      </c>
      <c r="I190" s="65">
        <f>+H190</f>
        <v>87250</v>
      </c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49">
        <f t="shared" si="22"/>
        <v>87250</v>
      </c>
      <c r="AC190" s="49">
        <f t="shared" si="19"/>
        <v>0</v>
      </c>
      <c r="AD190" t="s">
        <v>743</v>
      </c>
    </row>
    <row r="191" spans="1:30">
      <c r="A191" s="64" t="s">
        <v>388</v>
      </c>
      <c r="B191" s="64" t="s">
        <v>196</v>
      </c>
      <c r="C191" s="64" t="s">
        <v>197</v>
      </c>
      <c r="D191" s="64">
        <v>0</v>
      </c>
      <c r="E191" s="64">
        <v>495300</v>
      </c>
      <c r="F191" s="64">
        <f t="shared" si="24"/>
        <v>495300</v>
      </c>
      <c r="G191" s="64" t="s">
        <v>8</v>
      </c>
      <c r="H191" s="65">
        <f t="shared" si="25"/>
        <v>495300</v>
      </c>
      <c r="I191" s="64"/>
      <c r="J191" s="64"/>
      <c r="K191" s="64"/>
      <c r="L191" s="64"/>
      <c r="M191" s="65">
        <f>+H191</f>
        <v>495300</v>
      </c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49">
        <f t="shared" si="22"/>
        <v>495300</v>
      </c>
      <c r="AC191" s="49">
        <f t="shared" si="19"/>
        <v>0</v>
      </c>
      <c r="AD191" t="s">
        <v>743</v>
      </c>
    </row>
    <row r="192" spans="1:30">
      <c r="A192" s="64" t="s">
        <v>388</v>
      </c>
      <c r="B192" s="64" t="s">
        <v>947</v>
      </c>
      <c r="C192" s="64" t="s">
        <v>1123</v>
      </c>
      <c r="D192" s="64"/>
      <c r="E192" s="64"/>
      <c r="F192" s="64"/>
      <c r="G192" s="64"/>
      <c r="H192" s="65">
        <v>495300</v>
      </c>
      <c r="I192" s="64"/>
      <c r="J192" s="64"/>
      <c r="K192" s="64">
        <v>495300</v>
      </c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49">
        <f t="shared" si="22"/>
        <v>495300</v>
      </c>
      <c r="AC192" s="49">
        <f t="shared" si="19"/>
        <v>0</v>
      </c>
    </row>
    <row r="193" spans="1:30">
      <c r="A193" s="64" t="s">
        <v>388</v>
      </c>
      <c r="B193" s="64" t="s">
        <v>391</v>
      </c>
      <c r="C193" s="64" t="s">
        <v>392</v>
      </c>
      <c r="D193" s="64">
        <v>0</v>
      </c>
      <c r="E193" s="64">
        <v>497000</v>
      </c>
      <c r="F193" s="64">
        <f>+E193-D193</f>
        <v>497000</v>
      </c>
      <c r="G193" s="64" t="s">
        <v>8</v>
      </c>
      <c r="H193" s="65">
        <f>+E193</f>
        <v>497000</v>
      </c>
      <c r="I193" s="64"/>
      <c r="J193" s="64"/>
      <c r="K193" s="65">
        <f>+H193</f>
        <v>497000</v>
      </c>
      <c r="L193" s="64"/>
      <c r="M193" s="64"/>
      <c r="N193" s="82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49">
        <f t="shared" si="22"/>
        <v>497000</v>
      </c>
      <c r="AC193" s="49">
        <f t="shared" si="19"/>
        <v>0</v>
      </c>
      <c r="AD193" t="s">
        <v>743</v>
      </c>
    </row>
    <row r="194" spans="1:30">
      <c r="A194" s="64" t="s">
        <v>388</v>
      </c>
      <c r="B194" s="64" t="s">
        <v>395</v>
      </c>
      <c r="C194" s="64" t="s">
        <v>396</v>
      </c>
      <c r="D194" s="64">
        <v>0</v>
      </c>
      <c r="E194" s="64">
        <v>2508000</v>
      </c>
      <c r="F194" s="64">
        <f>+E194-D194</f>
        <v>2508000</v>
      </c>
      <c r="G194" s="64" t="s">
        <v>8</v>
      </c>
      <c r="H194" s="65">
        <f>+E194</f>
        <v>2508000</v>
      </c>
      <c r="I194" s="64"/>
      <c r="J194" s="82"/>
      <c r="K194" s="64"/>
      <c r="L194" s="64"/>
      <c r="M194" s="64"/>
      <c r="N194" s="64"/>
      <c r="O194" s="65">
        <f>+H194</f>
        <v>2508000</v>
      </c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49">
        <f t="shared" si="22"/>
        <v>2508000</v>
      </c>
      <c r="AC194" s="49">
        <f t="shared" ref="AC194:AC255" si="26">+AB194-H194</f>
        <v>0</v>
      </c>
      <c r="AD194" t="s">
        <v>743</v>
      </c>
    </row>
    <row r="195" spans="1:30">
      <c r="A195" s="64" t="s">
        <v>387</v>
      </c>
      <c r="B195" s="64" t="s">
        <v>125</v>
      </c>
      <c r="C195" s="64" t="s">
        <v>126</v>
      </c>
      <c r="D195" s="64">
        <v>0</v>
      </c>
      <c r="E195" s="64">
        <v>50000</v>
      </c>
      <c r="F195" s="64">
        <f>+E195-D195</f>
        <v>50000</v>
      </c>
      <c r="G195" s="64" t="s">
        <v>55</v>
      </c>
      <c r="H195" s="65">
        <f>+E195</f>
        <v>50000</v>
      </c>
      <c r="I195" s="82"/>
      <c r="J195" s="64"/>
      <c r="K195" s="64"/>
      <c r="L195" s="64"/>
      <c r="M195" s="65">
        <f>+H195</f>
        <v>50000</v>
      </c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49">
        <f t="shared" si="22"/>
        <v>50000</v>
      </c>
      <c r="AC195" s="49">
        <f t="shared" si="26"/>
        <v>0</v>
      </c>
      <c r="AD195" t="s">
        <v>743</v>
      </c>
    </row>
    <row r="196" spans="1:30">
      <c r="A196" s="64" t="s">
        <v>386</v>
      </c>
      <c r="B196" s="64" t="s">
        <v>376</v>
      </c>
      <c r="C196" s="64" t="s">
        <v>377</v>
      </c>
      <c r="D196" s="64">
        <v>5427.27</v>
      </c>
      <c r="E196" s="64">
        <v>59700</v>
      </c>
      <c r="F196" s="64">
        <f>+E196-D196</f>
        <v>54272.729999999996</v>
      </c>
      <c r="G196" s="64" t="s">
        <v>8</v>
      </c>
      <c r="H196" s="65">
        <f>+E196</f>
        <v>59700</v>
      </c>
      <c r="I196" s="64"/>
      <c r="J196" s="64"/>
      <c r="K196" s="65">
        <f>+H196</f>
        <v>59700</v>
      </c>
      <c r="L196" s="64"/>
      <c r="M196" s="65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49">
        <f t="shared" si="22"/>
        <v>59700</v>
      </c>
      <c r="AC196" s="49">
        <f t="shared" si="26"/>
        <v>0</v>
      </c>
      <c r="AD196" t="s">
        <v>743</v>
      </c>
    </row>
    <row r="197" spans="1:30">
      <c r="A197" s="64" t="s">
        <v>381</v>
      </c>
      <c r="B197" s="64" t="s">
        <v>515</v>
      </c>
      <c r="C197" s="64" t="s">
        <v>992</v>
      </c>
      <c r="D197" s="64"/>
      <c r="E197" s="64"/>
      <c r="F197" s="64"/>
      <c r="G197" s="64"/>
      <c r="H197" s="65">
        <v>100</v>
      </c>
      <c r="I197" s="64">
        <f>+H197</f>
        <v>100</v>
      </c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49">
        <f t="shared" si="22"/>
        <v>100</v>
      </c>
      <c r="AC197" s="49">
        <f t="shared" si="26"/>
        <v>0</v>
      </c>
    </row>
    <row r="198" spans="1:30">
      <c r="A198" s="64" t="s">
        <v>381</v>
      </c>
      <c r="B198" s="64" t="s">
        <v>515</v>
      </c>
      <c r="C198" s="64" t="s">
        <v>992</v>
      </c>
      <c r="D198" s="64"/>
      <c r="E198" s="64"/>
      <c r="F198" s="64"/>
      <c r="G198" s="64"/>
      <c r="H198" s="65">
        <v>100</v>
      </c>
      <c r="I198" s="64">
        <f>+H198</f>
        <v>100</v>
      </c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49">
        <f t="shared" si="22"/>
        <v>100</v>
      </c>
      <c r="AC198" s="49">
        <f t="shared" si="26"/>
        <v>0</v>
      </c>
    </row>
    <row r="199" spans="1:30">
      <c r="A199" s="64" t="s">
        <v>381</v>
      </c>
      <c r="B199" s="64" t="s">
        <v>1099</v>
      </c>
      <c r="C199" s="64" t="s">
        <v>1132</v>
      </c>
      <c r="D199" s="64"/>
      <c r="E199" s="64"/>
      <c r="F199" s="64"/>
      <c r="G199" s="64"/>
      <c r="H199" s="65">
        <v>200</v>
      </c>
      <c r="I199" s="64">
        <f>+H199</f>
        <v>200</v>
      </c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49">
        <f t="shared" si="22"/>
        <v>200</v>
      </c>
      <c r="AC199" s="49">
        <f t="shared" si="26"/>
        <v>0</v>
      </c>
    </row>
    <row r="200" spans="1:30">
      <c r="A200" s="64" t="s">
        <v>381</v>
      </c>
      <c r="B200" s="64" t="s">
        <v>1135</v>
      </c>
      <c r="C200" s="64" t="s">
        <v>1134</v>
      </c>
      <c r="D200" s="64"/>
      <c r="E200" s="64"/>
      <c r="F200" s="64"/>
      <c r="G200" s="64"/>
      <c r="H200" s="65">
        <v>200</v>
      </c>
      <c r="I200" s="64">
        <f>+H200</f>
        <v>200</v>
      </c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49">
        <f t="shared" si="22"/>
        <v>200</v>
      </c>
      <c r="AC200" s="49">
        <f t="shared" si="26"/>
        <v>0</v>
      </c>
    </row>
    <row r="201" spans="1:30">
      <c r="A201" s="64" t="s">
        <v>381</v>
      </c>
      <c r="B201" s="64" t="s">
        <v>140</v>
      </c>
      <c r="C201" s="64" t="s">
        <v>141</v>
      </c>
      <c r="D201" s="64">
        <v>0</v>
      </c>
      <c r="E201" s="64">
        <v>16000</v>
      </c>
      <c r="F201" s="64">
        <f>+E201-D201</f>
        <v>16000</v>
      </c>
      <c r="G201" s="64" t="s">
        <v>55</v>
      </c>
      <c r="H201" s="65">
        <f>+E201</f>
        <v>16000</v>
      </c>
      <c r="I201" s="64"/>
      <c r="J201" s="64"/>
      <c r="K201" s="64"/>
      <c r="L201" s="64"/>
      <c r="M201" s="65">
        <f>+H201</f>
        <v>16000</v>
      </c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49">
        <f t="shared" si="22"/>
        <v>16000</v>
      </c>
      <c r="AC201" s="49">
        <f t="shared" si="26"/>
        <v>0</v>
      </c>
      <c r="AD201" t="s">
        <v>743</v>
      </c>
    </row>
    <row r="202" spans="1:30">
      <c r="A202" s="64" t="s">
        <v>381</v>
      </c>
      <c r="B202" s="64" t="s">
        <v>922</v>
      </c>
      <c r="C202" s="64" t="s">
        <v>1131</v>
      </c>
      <c r="D202" s="64"/>
      <c r="E202" s="64"/>
      <c r="F202" s="64"/>
      <c r="G202" s="64"/>
      <c r="H202" s="65">
        <v>62400</v>
      </c>
      <c r="I202" s="64">
        <f>+H202</f>
        <v>62400</v>
      </c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49">
        <f t="shared" si="22"/>
        <v>62400</v>
      </c>
      <c r="AC202" s="49">
        <f t="shared" si="26"/>
        <v>0</v>
      </c>
    </row>
    <row r="203" spans="1:30">
      <c r="A203" s="64" t="s">
        <v>381</v>
      </c>
      <c r="B203" s="64" t="s">
        <v>220</v>
      </c>
      <c r="C203" s="64" t="s">
        <v>221</v>
      </c>
      <c r="D203" s="64">
        <v>11636.36</v>
      </c>
      <c r="E203" s="64">
        <v>128000</v>
      </c>
      <c r="F203" s="64">
        <f>+E203-D203</f>
        <v>116363.64</v>
      </c>
      <c r="G203" s="64" t="s">
        <v>8</v>
      </c>
      <c r="H203" s="65">
        <f>+E203</f>
        <v>128000</v>
      </c>
      <c r="I203" s="84"/>
      <c r="J203" s="64"/>
      <c r="K203" s="64"/>
      <c r="L203" s="64"/>
      <c r="M203" s="64"/>
      <c r="N203" s="64"/>
      <c r="O203" s="64"/>
      <c r="P203" s="65">
        <f>+H203</f>
        <v>128000</v>
      </c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49">
        <f t="shared" ref="AB203:AB229" si="27">SUM(I203:AA203)</f>
        <v>128000</v>
      </c>
      <c r="AC203" s="49">
        <f t="shared" si="26"/>
        <v>0</v>
      </c>
      <c r="AD203" t="s">
        <v>743</v>
      </c>
    </row>
    <row r="204" spans="1:30">
      <c r="A204" s="64" t="s">
        <v>381</v>
      </c>
      <c r="B204" s="64" t="s">
        <v>1099</v>
      </c>
      <c r="C204" s="64" t="s">
        <v>1133</v>
      </c>
      <c r="D204" s="64"/>
      <c r="E204" s="64"/>
      <c r="F204" s="64"/>
      <c r="G204" s="64"/>
      <c r="H204" s="65">
        <v>248100</v>
      </c>
      <c r="I204" s="64">
        <v>28600</v>
      </c>
      <c r="J204" s="64"/>
      <c r="K204" s="64"/>
      <c r="L204" s="64"/>
      <c r="M204" s="64">
        <v>69500</v>
      </c>
      <c r="N204" s="64"/>
      <c r="O204" s="64"/>
      <c r="P204" s="64">
        <v>150000</v>
      </c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49">
        <f t="shared" si="27"/>
        <v>248100</v>
      </c>
      <c r="AC204" s="49">
        <f t="shared" si="26"/>
        <v>0</v>
      </c>
    </row>
    <row r="205" spans="1:30">
      <c r="A205" s="64" t="s">
        <v>381</v>
      </c>
      <c r="B205" s="64" t="s">
        <v>384</v>
      </c>
      <c r="C205" s="64" t="s">
        <v>385</v>
      </c>
      <c r="D205" s="64">
        <v>29881.82</v>
      </c>
      <c r="E205" s="64">
        <v>328700</v>
      </c>
      <c r="F205" s="64">
        <f>+E205-D205</f>
        <v>298818.18</v>
      </c>
      <c r="G205" s="64" t="s">
        <v>8</v>
      </c>
      <c r="H205" s="65">
        <f>+E205</f>
        <v>328700</v>
      </c>
      <c r="I205" s="64"/>
      <c r="J205" s="64"/>
      <c r="K205" s="65">
        <f>+H205</f>
        <v>328700</v>
      </c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49">
        <f t="shared" si="27"/>
        <v>328700</v>
      </c>
      <c r="AC205" s="49">
        <f t="shared" si="26"/>
        <v>0</v>
      </c>
      <c r="AD205" t="s">
        <v>743</v>
      </c>
    </row>
    <row r="206" spans="1:30">
      <c r="A206" s="64" t="s">
        <v>381</v>
      </c>
      <c r="B206" s="64" t="s">
        <v>991</v>
      </c>
      <c r="C206" s="64" t="s">
        <v>990</v>
      </c>
      <c r="D206" s="64"/>
      <c r="E206" s="64"/>
      <c r="F206" s="64"/>
      <c r="G206" s="64"/>
      <c r="H206" s="65">
        <v>1913819</v>
      </c>
      <c r="I206" s="64"/>
      <c r="J206" s="64">
        <v>1913819</v>
      </c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49">
        <f t="shared" si="27"/>
        <v>1913819</v>
      </c>
      <c r="AC206" s="49">
        <f t="shared" si="26"/>
        <v>0</v>
      </c>
    </row>
    <row r="207" spans="1:30">
      <c r="A207" s="64" t="s">
        <v>381</v>
      </c>
      <c r="B207" s="64" t="s">
        <v>382</v>
      </c>
      <c r="C207" s="64" t="s">
        <v>383</v>
      </c>
      <c r="D207" s="64">
        <v>0</v>
      </c>
      <c r="E207" s="64">
        <v>4420000</v>
      </c>
      <c r="F207" s="64">
        <f>+E207-D207</f>
        <v>4420000</v>
      </c>
      <c r="G207" s="64" t="s">
        <v>55</v>
      </c>
      <c r="H207" s="65">
        <f>+E207</f>
        <v>4420000</v>
      </c>
      <c r="I207" s="65">
        <f t="shared" ref="I207:I212" si="28">+H207</f>
        <v>4420000</v>
      </c>
      <c r="J207" s="64"/>
      <c r="K207" s="64"/>
      <c r="L207" s="64"/>
      <c r="M207" s="65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49">
        <f t="shared" si="27"/>
        <v>4420000</v>
      </c>
      <c r="AC207" s="49">
        <f t="shared" si="26"/>
        <v>0</v>
      </c>
      <c r="AD207" t="s">
        <v>743</v>
      </c>
    </row>
    <row r="208" spans="1:30">
      <c r="A208" s="64" t="s">
        <v>380</v>
      </c>
      <c r="B208" s="64" t="s">
        <v>515</v>
      </c>
      <c r="C208" s="64" t="s">
        <v>992</v>
      </c>
      <c r="D208" s="64"/>
      <c r="E208" s="64"/>
      <c r="F208" s="64"/>
      <c r="G208" s="64"/>
      <c r="H208" s="65">
        <v>100</v>
      </c>
      <c r="I208" s="64">
        <f t="shared" si="28"/>
        <v>100</v>
      </c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49">
        <f t="shared" si="27"/>
        <v>100</v>
      </c>
      <c r="AC208" s="49">
        <f t="shared" si="26"/>
        <v>0</v>
      </c>
    </row>
    <row r="209" spans="1:30">
      <c r="A209" s="64" t="s">
        <v>380</v>
      </c>
      <c r="B209" s="64" t="s">
        <v>1139</v>
      </c>
      <c r="C209" s="64" t="s">
        <v>1138</v>
      </c>
      <c r="D209" s="64"/>
      <c r="E209" s="64"/>
      <c r="F209" s="64"/>
      <c r="G209" s="64"/>
      <c r="H209" s="65">
        <v>200</v>
      </c>
      <c r="I209" s="64">
        <f t="shared" si="28"/>
        <v>200</v>
      </c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49">
        <f t="shared" si="27"/>
        <v>200</v>
      </c>
      <c r="AC209" s="49">
        <f t="shared" si="26"/>
        <v>0</v>
      </c>
    </row>
    <row r="210" spans="1:30">
      <c r="A210" s="64" t="s">
        <v>380</v>
      </c>
      <c r="B210" s="64" t="s">
        <v>1141</v>
      </c>
      <c r="C210" s="64" t="s">
        <v>1140</v>
      </c>
      <c r="D210" s="64"/>
      <c r="E210" s="64"/>
      <c r="F210" s="64"/>
      <c r="G210" s="64"/>
      <c r="H210" s="65">
        <v>200</v>
      </c>
      <c r="I210" s="64">
        <f t="shared" si="28"/>
        <v>200</v>
      </c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49">
        <f t="shared" si="27"/>
        <v>200</v>
      </c>
      <c r="AC210" s="49">
        <f t="shared" si="26"/>
        <v>0</v>
      </c>
    </row>
    <row r="211" spans="1:30">
      <c r="A211" s="64" t="s">
        <v>380</v>
      </c>
      <c r="B211" s="64" t="s">
        <v>1144</v>
      </c>
      <c r="C211" s="64" t="s">
        <v>1143</v>
      </c>
      <c r="D211" s="64"/>
      <c r="E211" s="64"/>
      <c r="F211" s="64"/>
      <c r="G211" s="64"/>
      <c r="H211" s="65">
        <v>200</v>
      </c>
      <c r="I211" s="64">
        <f t="shared" si="28"/>
        <v>200</v>
      </c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49">
        <f t="shared" si="27"/>
        <v>200</v>
      </c>
      <c r="AC211" s="49">
        <f t="shared" si="26"/>
        <v>0</v>
      </c>
    </row>
    <row r="212" spans="1:30">
      <c r="A212" s="64" t="s">
        <v>380</v>
      </c>
      <c r="B212" s="64" t="s">
        <v>1144</v>
      </c>
      <c r="C212" s="64" t="s">
        <v>1143</v>
      </c>
      <c r="D212" s="64"/>
      <c r="E212" s="64"/>
      <c r="F212" s="64"/>
      <c r="G212" s="64"/>
      <c r="H212" s="65">
        <v>200</v>
      </c>
      <c r="I212" s="64">
        <f t="shared" si="28"/>
        <v>200</v>
      </c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49">
        <f t="shared" si="27"/>
        <v>200</v>
      </c>
      <c r="AC212" s="49">
        <f t="shared" si="26"/>
        <v>0</v>
      </c>
    </row>
    <row r="213" spans="1:30">
      <c r="A213" s="64" t="s">
        <v>380</v>
      </c>
      <c r="B213" s="64" t="s">
        <v>1144</v>
      </c>
      <c r="C213" s="64" t="s">
        <v>1145</v>
      </c>
      <c r="D213" s="64"/>
      <c r="E213" s="64"/>
      <c r="F213" s="64"/>
      <c r="G213" s="64"/>
      <c r="H213" s="65">
        <v>53500</v>
      </c>
      <c r="I213" s="64">
        <v>53500</v>
      </c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49">
        <f t="shared" si="27"/>
        <v>53500</v>
      </c>
      <c r="AC213" s="49">
        <f t="shared" si="26"/>
        <v>0</v>
      </c>
    </row>
    <row r="214" spans="1:30">
      <c r="A214" s="64" t="s">
        <v>380</v>
      </c>
      <c r="B214" s="64" t="s">
        <v>1144</v>
      </c>
      <c r="C214" s="64" t="s">
        <v>1146</v>
      </c>
      <c r="D214" s="64"/>
      <c r="E214" s="64"/>
      <c r="F214" s="64"/>
      <c r="G214" s="64"/>
      <c r="H214" s="65">
        <v>53500</v>
      </c>
      <c r="I214" s="64"/>
      <c r="J214" s="64"/>
      <c r="K214" s="64">
        <f>+H214</f>
        <v>53500</v>
      </c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49">
        <f t="shared" si="27"/>
        <v>53500</v>
      </c>
      <c r="AC214" s="49">
        <f t="shared" si="26"/>
        <v>0</v>
      </c>
    </row>
    <row r="215" spans="1:30">
      <c r="A215" s="64" t="s">
        <v>380</v>
      </c>
      <c r="B215" s="64" t="s">
        <v>1137</v>
      </c>
      <c r="C215" s="64" t="s">
        <v>1136</v>
      </c>
      <c r="D215" s="64"/>
      <c r="E215" s="64"/>
      <c r="F215" s="64"/>
      <c r="G215" s="64"/>
      <c r="H215" s="65">
        <v>128000</v>
      </c>
      <c r="I215" s="64">
        <v>128000</v>
      </c>
      <c r="J215" s="64"/>
      <c r="K215" s="64"/>
      <c r="L215" s="64"/>
      <c r="M215" s="64"/>
      <c r="N215" s="64"/>
      <c r="O215" s="64"/>
      <c r="P215" s="82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49">
        <f t="shared" si="27"/>
        <v>128000</v>
      </c>
      <c r="AC215" s="49">
        <f t="shared" si="26"/>
        <v>0</v>
      </c>
    </row>
    <row r="216" spans="1:30">
      <c r="A216" s="64" t="s">
        <v>380</v>
      </c>
      <c r="B216" s="64" t="s">
        <v>149</v>
      </c>
      <c r="C216" s="64" t="s">
        <v>150</v>
      </c>
      <c r="D216" s="64">
        <v>15272.727273</v>
      </c>
      <c r="E216" s="64">
        <v>168000</v>
      </c>
      <c r="F216" s="64">
        <f>+E216-D216</f>
        <v>152727.272727</v>
      </c>
      <c r="G216" s="64" t="s">
        <v>8</v>
      </c>
      <c r="H216" s="65">
        <f>+E216</f>
        <v>168000</v>
      </c>
      <c r="I216" s="82"/>
      <c r="J216" s="64"/>
      <c r="K216" s="65">
        <f>+H216</f>
        <v>168000</v>
      </c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49">
        <f t="shared" si="27"/>
        <v>168000</v>
      </c>
      <c r="AC216" s="49">
        <f t="shared" si="26"/>
        <v>0</v>
      </c>
      <c r="AD216" t="s">
        <v>743</v>
      </c>
    </row>
    <row r="217" spans="1:30">
      <c r="A217" s="64" t="s">
        <v>380</v>
      </c>
      <c r="B217" s="64" t="s">
        <v>1141</v>
      </c>
      <c r="C217" s="64" t="s">
        <v>1142</v>
      </c>
      <c r="D217" s="64"/>
      <c r="E217" s="64"/>
      <c r="F217" s="64"/>
      <c r="G217" s="64"/>
      <c r="H217" s="65">
        <v>200000</v>
      </c>
      <c r="I217" s="64">
        <v>200000</v>
      </c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49">
        <f t="shared" si="27"/>
        <v>200000</v>
      </c>
      <c r="AC217" s="49">
        <f t="shared" si="26"/>
        <v>0</v>
      </c>
    </row>
    <row r="218" spans="1:30">
      <c r="A218" s="64" t="s">
        <v>373</v>
      </c>
      <c r="B218" s="64" t="s">
        <v>1148</v>
      </c>
      <c r="C218" s="64" t="s">
        <v>1147</v>
      </c>
      <c r="D218" s="64"/>
      <c r="E218" s="64"/>
      <c r="F218" s="64"/>
      <c r="G218" s="64"/>
      <c r="H218" s="65">
        <v>200</v>
      </c>
      <c r="I218" s="64">
        <f>+H218</f>
        <v>200</v>
      </c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49">
        <f t="shared" si="27"/>
        <v>200</v>
      </c>
      <c r="AC218" s="49">
        <f t="shared" si="26"/>
        <v>0</v>
      </c>
    </row>
    <row r="219" spans="1:30" ht="20.25" customHeight="1">
      <c r="A219" s="64" t="s">
        <v>373</v>
      </c>
      <c r="B219" s="64" t="s">
        <v>1007</v>
      </c>
      <c r="C219" s="64" t="s">
        <v>1149</v>
      </c>
      <c r="D219" s="64"/>
      <c r="E219" s="64"/>
      <c r="F219" s="64"/>
      <c r="G219" s="64"/>
      <c r="H219" s="65">
        <v>200</v>
      </c>
      <c r="I219" s="64">
        <f>+H219</f>
        <v>200</v>
      </c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49">
        <f t="shared" si="27"/>
        <v>200</v>
      </c>
      <c r="AC219" s="49">
        <f t="shared" si="26"/>
        <v>0</v>
      </c>
    </row>
    <row r="220" spans="1:30">
      <c r="A220" s="64" t="s">
        <v>373</v>
      </c>
      <c r="B220" s="64" t="s">
        <v>1151</v>
      </c>
      <c r="C220" s="64" t="s">
        <v>1150</v>
      </c>
      <c r="D220" s="64"/>
      <c r="E220" s="64"/>
      <c r="F220" s="64"/>
      <c r="G220" s="64"/>
      <c r="H220" s="65">
        <v>200</v>
      </c>
      <c r="I220" s="64">
        <f>+H220</f>
        <v>200</v>
      </c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49">
        <f t="shared" si="27"/>
        <v>200</v>
      </c>
      <c r="AC220" s="49">
        <f t="shared" si="26"/>
        <v>0</v>
      </c>
    </row>
    <row r="221" spans="1:30">
      <c r="A221" s="64" t="s">
        <v>373</v>
      </c>
      <c r="B221" s="64" t="s">
        <v>206</v>
      </c>
      <c r="C221" s="64" t="s">
        <v>207</v>
      </c>
      <c r="D221" s="64">
        <v>13968.18</v>
      </c>
      <c r="E221" s="64">
        <v>153650</v>
      </c>
      <c r="F221" s="64">
        <f>+E221-D221</f>
        <v>139681.82</v>
      </c>
      <c r="G221" s="64" t="s">
        <v>8</v>
      </c>
      <c r="H221" s="65">
        <f>+E221</f>
        <v>153650</v>
      </c>
      <c r="I221" s="82">
        <f>+H221</f>
        <v>153650</v>
      </c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49">
        <f t="shared" si="27"/>
        <v>153650</v>
      </c>
      <c r="AC221" s="49">
        <f t="shared" si="26"/>
        <v>0</v>
      </c>
      <c r="AD221" t="s">
        <v>743</v>
      </c>
    </row>
    <row r="222" spans="1:30">
      <c r="A222" s="64" t="s">
        <v>373</v>
      </c>
      <c r="B222" s="64" t="s">
        <v>374</v>
      </c>
      <c r="C222" s="64" t="s">
        <v>375</v>
      </c>
      <c r="D222" s="64">
        <v>14909.090909</v>
      </c>
      <c r="E222" s="64">
        <v>164000</v>
      </c>
      <c r="F222" s="64">
        <f>+E222-D222</f>
        <v>149090.90909100001</v>
      </c>
      <c r="G222" s="64" t="s">
        <v>8</v>
      </c>
      <c r="H222" s="65">
        <f>+E222</f>
        <v>164000</v>
      </c>
      <c r="I222" s="65"/>
      <c r="J222" s="64"/>
      <c r="K222" s="64"/>
      <c r="L222" s="64"/>
      <c r="M222" s="64"/>
      <c r="N222" s="64"/>
      <c r="O222" s="65">
        <f>+H222</f>
        <v>164000</v>
      </c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49">
        <f t="shared" si="27"/>
        <v>164000</v>
      </c>
      <c r="AC222" s="49">
        <f t="shared" si="26"/>
        <v>0</v>
      </c>
      <c r="AD222" t="s">
        <v>743</v>
      </c>
    </row>
    <row r="223" spans="1:30">
      <c r="A223" s="64" t="s">
        <v>373</v>
      </c>
      <c r="B223" s="64" t="s">
        <v>378</v>
      </c>
      <c r="C223" s="64" t="s">
        <v>379</v>
      </c>
      <c r="D223" s="64">
        <v>16454.55</v>
      </c>
      <c r="E223" s="64">
        <v>181000</v>
      </c>
      <c r="F223" s="64">
        <f>+E223-D223</f>
        <v>164545.45000000001</v>
      </c>
      <c r="G223" s="64" t="s">
        <v>8</v>
      </c>
      <c r="H223" s="65">
        <f>+E223</f>
        <v>181000</v>
      </c>
      <c r="I223" s="65"/>
      <c r="J223" s="64"/>
      <c r="K223" s="64"/>
      <c r="L223" s="65">
        <f>+H223</f>
        <v>181000</v>
      </c>
      <c r="M223" s="82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49">
        <f t="shared" si="27"/>
        <v>181000</v>
      </c>
      <c r="AC223" s="49">
        <f t="shared" si="26"/>
        <v>0</v>
      </c>
      <c r="AD223" t="s">
        <v>743</v>
      </c>
    </row>
    <row r="224" spans="1:30">
      <c r="A224" s="64" t="s">
        <v>373</v>
      </c>
      <c r="B224" s="64" t="s">
        <v>376</v>
      </c>
      <c r="C224" s="64" t="s">
        <v>377</v>
      </c>
      <c r="D224" s="64">
        <v>17896.36</v>
      </c>
      <c r="E224" s="64">
        <v>196860</v>
      </c>
      <c r="F224" s="64">
        <f>+E224-D224</f>
        <v>178963.64</v>
      </c>
      <c r="G224" s="64" t="s">
        <v>8</v>
      </c>
      <c r="H224" s="65">
        <f>+E224</f>
        <v>196860</v>
      </c>
      <c r="I224" s="64"/>
      <c r="J224" s="64"/>
      <c r="K224" s="65"/>
      <c r="L224" s="65">
        <f>+H224</f>
        <v>196860</v>
      </c>
      <c r="M224" s="65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49">
        <f t="shared" si="27"/>
        <v>196860</v>
      </c>
      <c r="AC224" s="49">
        <f t="shared" si="26"/>
        <v>0</v>
      </c>
      <c r="AD224" t="s">
        <v>743</v>
      </c>
    </row>
    <row r="225" spans="1:30">
      <c r="A225" s="64" t="s">
        <v>373</v>
      </c>
      <c r="B225" s="64" t="s">
        <v>156</v>
      </c>
      <c r="C225" s="64" t="s">
        <v>157</v>
      </c>
      <c r="D225" s="64">
        <v>763636.36</v>
      </c>
      <c r="E225" s="64">
        <v>8400000</v>
      </c>
      <c r="F225" s="64">
        <f>+E225-D225</f>
        <v>7636363.6399999997</v>
      </c>
      <c r="G225" s="64" t="s">
        <v>8</v>
      </c>
      <c r="H225" s="65">
        <f>+E225</f>
        <v>8400000</v>
      </c>
      <c r="I225" s="64"/>
      <c r="J225" s="82"/>
      <c r="K225" s="64"/>
      <c r="L225" s="64"/>
      <c r="M225" s="64"/>
      <c r="N225" s="64"/>
      <c r="O225" s="64"/>
      <c r="P225" s="65">
        <f>+H225</f>
        <v>8400000</v>
      </c>
      <c r="Q225" s="65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49">
        <f t="shared" si="27"/>
        <v>8400000</v>
      </c>
      <c r="AC225" s="49">
        <f t="shared" si="26"/>
        <v>0</v>
      </c>
      <c r="AD225" t="s">
        <v>743</v>
      </c>
    </row>
    <row r="226" spans="1:30">
      <c r="A226" s="64" t="s">
        <v>372</v>
      </c>
      <c r="B226" s="64" t="s">
        <v>914</v>
      </c>
      <c r="C226" s="64" t="s">
        <v>1152</v>
      </c>
      <c r="D226" s="64"/>
      <c r="E226" s="64"/>
      <c r="F226" s="64"/>
      <c r="G226" s="64"/>
      <c r="H226" s="65">
        <v>200</v>
      </c>
      <c r="I226" s="64">
        <f>+H226</f>
        <v>200</v>
      </c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49">
        <f t="shared" si="27"/>
        <v>200</v>
      </c>
      <c r="AC226" s="49">
        <f t="shared" si="26"/>
        <v>0</v>
      </c>
    </row>
    <row r="227" spans="1:30">
      <c r="A227" s="64" t="s">
        <v>372</v>
      </c>
      <c r="B227" s="64" t="s">
        <v>1155</v>
      </c>
      <c r="C227" s="64" t="s">
        <v>1154</v>
      </c>
      <c r="D227" s="64"/>
      <c r="E227" s="64"/>
      <c r="F227" s="64"/>
      <c r="G227" s="64"/>
      <c r="H227" s="65">
        <v>200</v>
      </c>
      <c r="I227" s="64">
        <f>+H227</f>
        <v>200</v>
      </c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49">
        <f t="shared" si="27"/>
        <v>200</v>
      </c>
      <c r="AC227" s="49">
        <f t="shared" si="26"/>
        <v>0</v>
      </c>
    </row>
    <row r="228" spans="1:30">
      <c r="A228" s="64" t="s">
        <v>372</v>
      </c>
      <c r="B228" s="64" t="s">
        <v>140</v>
      </c>
      <c r="C228" s="64" t="s">
        <v>141</v>
      </c>
      <c r="D228" s="64">
        <v>0</v>
      </c>
      <c r="E228" s="64">
        <v>80000</v>
      </c>
      <c r="F228" s="64">
        <f>+E228-D228</f>
        <v>80000</v>
      </c>
      <c r="G228" s="64" t="s">
        <v>55</v>
      </c>
      <c r="H228" s="65">
        <f>+E228</f>
        <v>80000</v>
      </c>
      <c r="I228" s="64"/>
      <c r="J228" s="82"/>
      <c r="K228" s="64"/>
      <c r="L228" s="64"/>
      <c r="M228" s="65">
        <f>+H228</f>
        <v>80000</v>
      </c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49">
        <f t="shared" si="27"/>
        <v>80000</v>
      </c>
      <c r="AC228" s="49">
        <f t="shared" si="26"/>
        <v>0</v>
      </c>
      <c r="AD228" t="s">
        <v>743</v>
      </c>
    </row>
    <row r="229" spans="1:30">
      <c r="A229" s="64" t="s">
        <v>372</v>
      </c>
      <c r="B229" s="64" t="s">
        <v>914</v>
      </c>
      <c r="C229" s="64" t="s">
        <v>1153</v>
      </c>
      <c r="D229" s="64"/>
      <c r="E229" s="64"/>
      <c r="F229" s="64"/>
      <c r="G229" s="64"/>
      <c r="H229" s="65">
        <v>80000</v>
      </c>
      <c r="I229" s="64"/>
      <c r="J229" s="64"/>
      <c r="K229" s="64"/>
      <c r="L229" s="64"/>
      <c r="M229" s="64"/>
      <c r="N229" s="64"/>
      <c r="O229" s="64"/>
      <c r="P229" s="64">
        <f>+H229</f>
        <v>80000</v>
      </c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49">
        <f t="shared" si="27"/>
        <v>80000</v>
      </c>
      <c r="AC229" s="49">
        <f t="shared" si="26"/>
        <v>0</v>
      </c>
    </row>
    <row r="230" spans="1:30">
      <c r="A230" s="64" t="s">
        <v>372</v>
      </c>
      <c r="B230" s="64" t="s">
        <v>304</v>
      </c>
      <c r="C230" s="64" t="s">
        <v>305</v>
      </c>
      <c r="D230" s="64">
        <v>12909.09</v>
      </c>
      <c r="E230" s="64">
        <v>142000</v>
      </c>
      <c r="F230" s="64">
        <f>+E230-D230</f>
        <v>129090.91</v>
      </c>
      <c r="G230" s="64" t="s">
        <v>8</v>
      </c>
      <c r="H230" s="65">
        <f>+E230</f>
        <v>142000</v>
      </c>
      <c r="I230" s="84"/>
      <c r="J230" s="64"/>
      <c r="K230" s="64"/>
      <c r="L230" s="64"/>
      <c r="M230" s="64"/>
      <c r="N230" s="64"/>
      <c r="O230" s="64"/>
      <c r="P230" s="65">
        <f>+H230</f>
        <v>142000</v>
      </c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49">
        <f>SUM(J230:AA230)</f>
        <v>142000</v>
      </c>
      <c r="AC230" s="49">
        <f t="shared" si="26"/>
        <v>0</v>
      </c>
      <c r="AD230" t="s">
        <v>743</v>
      </c>
    </row>
    <row r="231" spans="1:30">
      <c r="A231" s="64" t="s">
        <v>372</v>
      </c>
      <c r="B231" s="64" t="s">
        <v>10</v>
      </c>
      <c r="C231" s="64" t="s">
        <v>11</v>
      </c>
      <c r="D231" s="64">
        <v>15092.36</v>
      </c>
      <c r="E231" s="64">
        <v>166016</v>
      </c>
      <c r="F231" s="64">
        <f>+E231-D231</f>
        <v>150923.64000000001</v>
      </c>
      <c r="G231" s="64" t="s">
        <v>8</v>
      </c>
      <c r="H231" s="65">
        <f>+E231</f>
        <v>166016</v>
      </c>
      <c r="I231" s="65">
        <f>+H231</f>
        <v>166016</v>
      </c>
      <c r="J231" s="64"/>
      <c r="K231" s="64"/>
      <c r="L231" s="64"/>
      <c r="M231" s="64"/>
      <c r="N231" s="82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49">
        <f t="shared" ref="AB231:AB256" si="29">SUM(I231:AA231)</f>
        <v>166016</v>
      </c>
      <c r="AC231" s="49">
        <f t="shared" si="26"/>
        <v>0</v>
      </c>
      <c r="AD231" t="s">
        <v>743</v>
      </c>
    </row>
    <row r="232" spans="1:30">
      <c r="A232" s="64" t="s">
        <v>372</v>
      </c>
      <c r="B232" s="64" t="s">
        <v>241</v>
      </c>
      <c r="C232" s="64" t="s">
        <v>242</v>
      </c>
      <c r="D232" s="64">
        <v>25200</v>
      </c>
      <c r="E232" s="64">
        <v>277200</v>
      </c>
      <c r="F232" s="64">
        <f>+E232-D232</f>
        <v>252000</v>
      </c>
      <c r="G232" s="64" t="s">
        <v>8</v>
      </c>
      <c r="H232" s="65">
        <f>+E232</f>
        <v>277200</v>
      </c>
      <c r="I232" s="64"/>
      <c r="J232" s="64"/>
      <c r="K232" s="64"/>
      <c r="L232" s="64"/>
      <c r="M232" s="64"/>
      <c r="N232" s="64"/>
      <c r="O232" s="65">
        <f>+H232</f>
        <v>277200</v>
      </c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49">
        <f t="shared" si="29"/>
        <v>277200</v>
      </c>
      <c r="AC232" s="49">
        <f t="shared" si="26"/>
        <v>0</v>
      </c>
      <c r="AD232" t="s">
        <v>743</v>
      </c>
    </row>
    <row r="233" spans="1:30">
      <c r="A233" s="64" t="s">
        <v>372</v>
      </c>
      <c r="B233" s="64" t="s">
        <v>1155</v>
      </c>
      <c r="C233" s="64" t="s">
        <v>1156</v>
      </c>
      <c r="D233" s="64"/>
      <c r="E233" s="64"/>
      <c r="F233" s="64"/>
      <c r="G233" s="64"/>
      <c r="H233" s="65">
        <v>2000000</v>
      </c>
      <c r="I233" s="64">
        <f>+H233</f>
        <v>2000000</v>
      </c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49">
        <f t="shared" si="29"/>
        <v>2000000</v>
      </c>
      <c r="AC233" s="49">
        <f t="shared" si="26"/>
        <v>0</v>
      </c>
    </row>
    <row r="234" spans="1:30">
      <c r="A234" s="64" t="s">
        <v>357</v>
      </c>
      <c r="B234" s="64" t="s">
        <v>1158</v>
      </c>
      <c r="C234" s="64" t="s">
        <v>1157</v>
      </c>
      <c r="D234" s="64"/>
      <c r="E234" s="64"/>
      <c r="F234" s="64"/>
      <c r="G234" s="64"/>
      <c r="H234" s="65">
        <v>200</v>
      </c>
      <c r="I234" s="64">
        <f>+H234</f>
        <v>200</v>
      </c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49">
        <f t="shared" si="29"/>
        <v>200</v>
      </c>
      <c r="AC234" s="49">
        <f t="shared" si="26"/>
        <v>0</v>
      </c>
    </row>
    <row r="235" spans="1:30">
      <c r="A235" s="64" t="s">
        <v>357</v>
      </c>
      <c r="B235" s="64" t="s">
        <v>362</v>
      </c>
      <c r="C235" s="64" t="s">
        <v>363</v>
      </c>
      <c r="D235" s="64">
        <v>745.27</v>
      </c>
      <c r="E235" s="64">
        <v>8198</v>
      </c>
      <c r="F235" s="64">
        <f t="shared" ref="F235:F244" si="30">+E235-D235</f>
        <v>7452.73</v>
      </c>
      <c r="G235" s="64" t="s">
        <v>8</v>
      </c>
      <c r="H235" s="65">
        <f t="shared" ref="H235:H244" si="31">+E235</f>
        <v>8198</v>
      </c>
      <c r="I235" s="65">
        <f>+H235</f>
        <v>8198</v>
      </c>
      <c r="J235" s="65"/>
      <c r="K235" s="82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49">
        <f t="shared" si="29"/>
        <v>8198</v>
      </c>
      <c r="AC235" s="49">
        <f t="shared" si="26"/>
        <v>0</v>
      </c>
      <c r="AD235" t="s">
        <v>743</v>
      </c>
    </row>
    <row r="236" spans="1:30">
      <c r="A236" s="64" t="s">
        <v>357</v>
      </c>
      <c r="B236" s="64" t="s">
        <v>358</v>
      </c>
      <c r="C236" s="64" t="s">
        <v>359</v>
      </c>
      <c r="D236" s="64">
        <v>0</v>
      </c>
      <c r="E236" s="64">
        <v>12380</v>
      </c>
      <c r="F236" s="64">
        <f t="shared" si="30"/>
        <v>12380</v>
      </c>
      <c r="G236" s="64" t="s">
        <v>55</v>
      </c>
      <c r="H236" s="65">
        <f t="shared" si="31"/>
        <v>12380</v>
      </c>
      <c r="I236" s="82"/>
      <c r="J236" s="64"/>
      <c r="K236" s="65">
        <f>+H236</f>
        <v>12380</v>
      </c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49">
        <f t="shared" si="29"/>
        <v>12380</v>
      </c>
      <c r="AC236" s="49">
        <f t="shared" si="26"/>
        <v>0</v>
      </c>
      <c r="AD236" t="s">
        <v>743</v>
      </c>
    </row>
    <row r="237" spans="1:30">
      <c r="A237" s="64" t="s">
        <v>357</v>
      </c>
      <c r="B237" s="64" t="s">
        <v>364</v>
      </c>
      <c r="C237" s="64" t="s">
        <v>365</v>
      </c>
      <c r="D237" s="64">
        <v>0</v>
      </c>
      <c r="E237" s="64">
        <v>22524</v>
      </c>
      <c r="F237" s="64">
        <f t="shared" si="30"/>
        <v>22524</v>
      </c>
      <c r="G237" s="64" t="s">
        <v>55</v>
      </c>
      <c r="H237" s="65">
        <f t="shared" si="31"/>
        <v>22524</v>
      </c>
      <c r="I237" s="64"/>
      <c r="J237" s="65"/>
      <c r="K237" s="65">
        <f>+H237</f>
        <v>22524</v>
      </c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49">
        <f t="shared" si="29"/>
        <v>22524</v>
      </c>
      <c r="AC237" s="49">
        <f t="shared" si="26"/>
        <v>0</v>
      </c>
      <c r="AD237" t="s">
        <v>743</v>
      </c>
    </row>
    <row r="238" spans="1:30">
      <c r="A238" s="64" t="s">
        <v>357</v>
      </c>
      <c r="B238" s="64" t="s">
        <v>335</v>
      </c>
      <c r="C238" s="64" t="s">
        <v>336</v>
      </c>
      <c r="D238" s="64">
        <v>0</v>
      </c>
      <c r="E238" s="64">
        <v>75000</v>
      </c>
      <c r="F238" s="64">
        <f t="shared" si="30"/>
        <v>75000</v>
      </c>
      <c r="G238" s="64" t="s">
        <v>8</v>
      </c>
      <c r="H238" s="65">
        <f t="shared" si="31"/>
        <v>75000</v>
      </c>
      <c r="I238" s="64"/>
      <c r="J238" s="64"/>
      <c r="K238" s="64"/>
      <c r="L238" s="64"/>
      <c r="M238" s="65">
        <f>+H238</f>
        <v>75000</v>
      </c>
      <c r="N238" s="64"/>
      <c r="O238" s="64"/>
      <c r="P238" s="64"/>
      <c r="Q238" s="65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49">
        <f t="shared" si="29"/>
        <v>75000</v>
      </c>
      <c r="AC238" s="49">
        <f t="shared" si="26"/>
        <v>0</v>
      </c>
      <c r="AD238" t="s">
        <v>743</v>
      </c>
    </row>
    <row r="239" spans="1:30">
      <c r="A239" s="64" t="s">
        <v>357</v>
      </c>
      <c r="B239" s="64" t="s">
        <v>366</v>
      </c>
      <c r="C239" s="64" t="s">
        <v>367</v>
      </c>
      <c r="D239" s="64">
        <v>8434</v>
      </c>
      <c r="E239" s="64">
        <v>92774</v>
      </c>
      <c r="F239" s="64">
        <f t="shared" si="30"/>
        <v>84340</v>
      </c>
      <c r="G239" s="64" t="s">
        <v>8</v>
      </c>
      <c r="H239" s="65">
        <f t="shared" si="31"/>
        <v>92774</v>
      </c>
      <c r="I239" s="65">
        <f>+H239</f>
        <v>92774</v>
      </c>
      <c r="J239" s="65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49">
        <f t="shared" si="29"/>
        <v>92774</v>
      </c>
      <c r="AC239" s="49">
        <f t="shared" si="26"/>
        <v>0</v>
      </c>
      <c r="AD239" t="s">
        <v>743</v>
      </c>
    </row>
    <row r="240" spans="1:30">
      <c r="A240" s="64" t="s">
        <v>357</v>
      </c>
      <c r="B240" s="64" t="s">
        <v>370</v>
      </c>
      <c r="C240" s="64" t="s">
        <v>371</v>
      </c>
      <c r="D240" s="64">
        <v>13400</v>
      </c>
      <c r="E240" s="64">
        <v>147400</v>
      </c>
      <c r="F240" s="64">
        <f t="shared" si="30"/>
        <v>134000</v>
      </c>
      <c r="G240" s="64" t="s">
        <v>8</v>
      </c>
      <c r="H240" s="65">
        <f t="shared" si="31"/>
        <v>147400</v>
      </c>
      <c r="I240" s="65">
        <f>+H240</f>
        <v>147400</v>
      </c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49">
        <f t="shared" si="29"/>
        <v>147400</v>
      </c>
      <c r="AC240" s="49">
        <f t="shared" si="26"/>
        <v>0</v>
      </c>
      <c r="AD240" t="s">
        <v>743</v>
      </c>
    </row>
    <row r="241" spans="1:30">
      <c r="A241" s="64" t="s">
        <v>357</v>
      </c>
      <c r="B241" s="64" t="s">
        <v>360</v>
      </c>
      <c r="C241" s="64" t="s">
        <v>361</v>
      </c>
      <c r="D241" s="64">
        <v>41979.82</v>
      </c>
      <c r="E241" s="64">
        <v>461778</v>
      </c>
      <c r="F241" s="64">
        <f t="shared" si="30"/>
        <v>419798.18</v>
      </c>
      <c r="G241" s="64" t="s">
        <v>8</v>
      </c>
      <c r="H241" s="65">
        <f t="shared" si="31"/>
        <v>461778</v>
      </c>
      <c r="I241" s="65"/>
      <c r="J241" s="64"/>
      <c r="K241" s="65">
        <f>+H241</f>
        <v>461778</v>
      </c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49">
        <f t="shared" si="29"/>
        <v>461778</v>
      </c>
      <c r="AC241" s="49">
        <f t="shared" si="26"/>
        <v>0</v>
      </c>
      <c r="AD241" t="s">
        <v>743</v>
      </c>
    </row>
    <row r="242" spans="1:30">
      <c r="A242" s="64" t="s">
        <v>357</v>
      </c>
      <c r="B242" s="64" t="s">
        <v>368</v>
      </c>
      <c r="C242" s="64" t="s">
        <v>369</v>
      </c>
      <c r="D242" s="64">
        <v>600000</v>
      </c>
      <c r="E242" s="64">
        <v>6600000</v>
      </c>
      <c r="F242" s="64">
        <f t="shared" si="30"/>
        <v>6000000</v>
      </c>
      <c r="G242" s="64" t="s">
        <v>8</v>
      </c>
      <c r="H242" s="65">
        <f t="shared" si="31"/>
        <v>6600000</v>
      </c>
      <c r="I242" s="64"/>
      <c r="J242" s="64"/>
      <c r="K242" s="64"/>
      <c r="L242" s="64"/>
      <c r="M242" s="64"/>
      <c r="N242" s="65">
        <f>+H242</f>
        <v>6600000</v>
      </c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49">
        <f t="shared" si="29"/>
        <v>6600000</v>
      </c>
      <c r="AC242" s="49">
        <f t="shared" si="26"/>
        <v>0</v>
      </c>
      <c r="AD242" t="s">
        <v>743</v>
      </c>
    </row>
    <row r="243" spans="1:30">
      <c r="A243" s="64" t="s">
        <v>354</v>
      </c>
      <c r="B243" s="64" t="s">
        <v>56</v>
      </c>
      <c r="C243" s="64" t="s">
        <v>57</v>
      </c>
      <c r="D243" s="64">
        <v>0</v>
      </c>
      <c r="E243" s="64">
        <v>100</v>
      </c>
      <c r="F243" s="64">
        <f t="shared" si="30"/>
        <v>100</v>
      </c>
      <c r="G243" s="64" t="s">
        <v>55</v>
      </c>
      <c r="H243" s="65">
        <f t="shared" si="31"/>
        <v>100</v>
      </c>
      <c r="I243" s="65">
        <f>+H243</f>
        <v>100</v>
      </c>
      <c r="J243" s="64"/>
      <c r="K243" s="65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49">
        <f t="shared" si="29"/>
        <v>100</v>
      </c>
      <c r="AC243" s="49">
        <f t="shared" si="26"/>
        <v>0</v>
      </c>
      <c r="AD243" t="s">
        <v>743</v>
      </c>
    </row>
    <row r="244" spans="1:30">
      <c r="A244" s="64" t="s">
        <v>354</v>
      </c>
      <c r="B244" s="64" t="s">
        <v>56</v>
      </c>
      <c r="C244" s="64" t="s">
        <v>57</v>
      </c>
      <c r="D244" s="64">
        <v>0</v>
      </c>
      <c r="E244" s="64">
        <v>100</v>
      </c>
      <c r="F244" s="64">
        <f t="shared" si="30"/>
        <v>100</v>
      </c>
      <c r="G244" s="64" t="s">
        <v>55</v>
      </c>
      <c r="H244" s="65">
        <f t="shared" si="31"/>
        <v>100</v>
      </c>
      <c r="I244" s="65">
        <f>+H244</f>
        <v>100</v>
      </c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49">
        <f t="shared" si="29"/>
        <v>100</v>
      </c>
      <c r="AC244" s="49">
        <f t="shared" si="26"/>
        <v>0</v>
      </c>
      <c r="AD244" t="s">
        <v>743</v>
      </c>
    </row>
    <row r="245" spans="1:30">
      <c r="A245" s="64" t="s">
        <v>354</v>
      </c>
      <c r="B245" s="64" t="s">
        <v>1160</v>
      </c>
      <c r="C245" s="64" t="s">
        <v>1159</v>
      </c>
      <c r="D245" s="64"/>
      <c r="E245" s="64"/>
      <c r="F245" s="64"/>
      <c r="G245" s="64"/>
      <c r="H245" s="65">
        <v>200</v>
      </c>
      <c r="I245" s="64">
        <f>+H245</f>
        <v>200</v>
      </c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49">
        <f t="shared" si="29"/>
        <v>200</v>
      </c>
      <c r="AC245" s="49">
        <f t="shared" si="26"/>
        <v>0</v>
      </c>
    </row>
    <row r="246" spans="1:30">
      <c r="A246" s="64" t="s">
        <v>354</v>
      </c>
      <c r="B246" s="64" t="s">
        <v>1160</v>
      </c>
      <c r="C246" s="64" t="s">
        <v>1161</v>
      </c>
      <c r="D246" s="64"/>
      <c r="E246" s="64"/>
      <c r="F246" s="64"/>
      <c r="G246" s="64"/>
      <c r="H246" s="65">
        <v>1920000</v>
      </c>
      <c r="I246" s="64">
        <f>+H246</f>
        <v>1920000</v>
      </c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49">
        <f t="shared" si="29"/>
        <v>1920000</v>
      </c>
      <c r="AC246" s="49">
        <f t="shared" si="26"/>
        <v>0</v>
      </c>
    </row>
    <row r="247" spans="1:30">
      <c r="A247" s="64" t="s">
        <v>354</v>
      </c>
      <c r="B247" s="64" t="s">
        <v>355</v>
      </c>
      <c r="C247" s="64" t="s">
        <v>356</v>
      </c>
      <c r="D247" s="64">
        <v>0</v>
      </c>
      <c r="E247" s="64">
        <v>2015315</v>
      </c>
      <c r="F247" s="64">
        <f>+E247-D247</f>
        <v>2015315</v>
      </c>
      <c r="G247" s="64" t="s">
        <v>8</v>
      </c>
      <c r="H247" s="65">
        <f>+E247</f>
        <v>2015315</v>
      </c>
      <c r="I247" s="82"/>
      <c r="J247" s="64"/>
      <c r="K247" s="64"/>
      <c r="L247" s="64"/>
      <c r="M247" s="65"/>
      <c r="N247" s="65">
        <f>+H247</f>
        <v>2015315</v>
      </c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49">
        <f t="shared" si="29"/>
        <v>2015315</v>
      </c>
      <c r="AC247" s="49">
        <f t="shared" si="26"/>
        <v>0</v>
      </c>
      <c r="AD247" t="s">
        <v>743</v>
      </c>
    </row>
    <row r="248" spans="1:30">
      <c r="A248" s="64" t="s">
        <v>347</v>
      </c>
      <c r="B248" s="64" t="s">
        <v>56</v>
      </c>
      <c r="C248" s="64" t="s">
        <v>57</v>
      </c>
      <c r="D248" s="64">
        <v>0</v>
      </c>
      <c r="E248" s="64">
        <v>100</v>
      </c>
      <c r="F248" s="64">
        <f>+E248-D248</f>
        <v>100</v>
      </c>
      <c r="G248" s="64" t="s">
        <v>55</v>
      </c>
      <c r="H248" s="65">
        <f>+E248</f>
        <v>100</v>
      </c>
      <c r="I248" s="65">
        <f>+H248</f>
        <v>100</v>
      </c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49">
        <f t="shared" si="29"/>
        <v>100</v>
      </c>
      <c r="AC248" s="49">
        <f t="shared" si="26"/>
        <v>0</v>
      </c>
      <c r="AD248" t="s">
        <v>743</v>
      </c>
    </row>
    <row r="249" spans="1:30">
      <c r="A249" s="64" t="s">
        <v>347</v>
      </c>
      <c r="B249" s="64" t="s">
        <v>914</v>
      </c>
      <c r="C249" s="64" t="s">
        <v>1162</v>
      </c>
      <c r="D249" s="64"/>
      <c r="E249" s="64"/>
      <c r="F249" s="64"/>
      <c r="G249" s="64"/>
      <c r="H249" s="65">
        <v>200</v>
      </c>
      <c r="I249" s="64">
        <f>+H249</f>
        <v>200</v>
      </c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49">
        <f t="shared" si="29"/>
        <v>200</v>
      </c>
      <c r="AC249" s="49">
        <f t="shared" si="26"/>
        <v>0</v>
      </c>
    </row>
    <row r="250" spans="1:30">
      <c r="A250" s="64" t="s">
        <v>347</v>
      </c>
      <c r="B250" s="64" t="s">
        <v>53</v>
      </c>
      <c r="C250" s="64" t="s">
        <v>54</v>
      </c>
      <c r="D250" s="64">
        <v>0</v>
      </c>
      <c r="E250" s="64">
        <v>1000</v>
      </c>
      <c r="F250" s="64">
        <f t="shared" ref="F250:F255" si="32">+E250-D250</f>
        <v>1000</v>
      </c>
      <c r="G250" s="64" t="s">
        <v>55</v>
      </c>
      <c r="H250" s="65">
        <f t="shared" ref="H250:H255" si="33">+E250</f>
        <v>1000</v>
      </c>
      <c r="I250" s="65">
        <f>+H250</f>
        <v>1000</v>
      </c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49">
        <f t="shared" si="29"/>
        <v>1000</v>
      </c>
      <c r="AC250" s="49">
        <f t="shared" si="26"/>
        <v>0</v>
      </c>
      <c r="AD250" t="s">
        <v>743</v>
      </c>
    </row>
    <row r="251" spans="1:30">
      <c r="A251" s="64" t="s">
        <v>347</v>
      </c>
      <c r="B251" s="64" t="s">
        <v>56</v>
      </c>
      <c r="C251" s="64" t="s">
        <v>57</v>
      </c>
      <c r="D251" s="64">
        <v>0</v>
      </c>
      <c r="E251" s="64">
        <v>2000</v>
      </c>
      <c r="F251" s="64">
        <f t="shared" si="32"/>
        <v>2000</v>
      </c>
      <c r="G251" s="64" t="s">
        <v>55</v>
      </c>
      <c r="H251" s="65">
        <f t="shared" si="33"/>
        <v>2000</v>
      </c>
      <c r="I251" s="65">
        <f>+H251</f>
        <v>2000</v>
      </c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49">
        <f t="shared" si="29"/>
        <v>2000</v>
      </c>
      <c r="AC251" s="49">
        <f t="shared" si="26"/>
        <v>0</v>
      </c>
      <c r="AD251" t="s">
        <v>743</v>
      </c>
    </row>
    <row r="252" spans="1:30">
      <c r="A252" s="64" t="s">
        <v>347</v>
      </c>
      <c r="B252" s="64" t="s">
        <v>10</v>
      </c>
      <c r="C252" s="64" t="s">
        <v>11</v>
      </c>
      <c r="D252" s="64">
        <v>14713</v>
      </c>
      <c r="E252" s="64">
        <v>161843</v>
      </c>
      <c r="F252" s="64">
        <f t="shared" si="32"/>
        <v>147130</v>
      </c>
      <c r="G252" s="64" t="s">
        <v>8</v>
      </c>
      <c r="H252" s="65">
        <f t="shared" si="33"/>
        <v>161843</v>
      </c>
      <c r="I252" s="65"/>
      <c r="J252" s="64"/>
      <c r="K252" s="64"/>
      <c r="L252" s="64"/>
      <c r="M252" s="64"/>
      <c r="N252" s="64"/>
      <c r="O252" s="64"/>
      <c r="P252" s="65">
        <f>+H252</f>
        <v>161843</v>
      </c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49">
        <f t="shared" si="29"/>
        <v>161843</v>
      </c>
      <c r="AC252" s="49">
        <f t="shared" si="26"/>
        <v>0</v>
      </c>
      <c r="AD252" t="s">
        <v>743</v>
      </c>
    </row>
    <row r="253" spans="1:30">
      <c r="A253" s="64" t="s">
        <v>347</v>
      </c>
      <c r="B253" s="64" t="s">
        <v>352</v>
      </c>
      <c r="C253" s="64" t="s">
        <v>353</v>
      </c>
      <c r="D253" s="64">
        <v>48272.727272999997</v>
      </c>
      <c r="E253" s="64">
        <v>531000</v>
      </c>
      <c r="F253" s="64">
        <f t="shared" si="32"/>
        <v>482727.272727</v>
      </c>
      <c r="G253" s="64" t="s">
        <v>8</v>
      </c>
      <c r="H253" s="65">
        <f t="shared" si="33"/>
        <v>531000</v>
      </c>
      <c r="I253" s="65"/>
      <c r="J253" s="64"/>
      <c r="K253" s="64"/>
      <c r="L253" s="64"/>
      <c r="M253" s="65">
        <f>+H253</f>
        <v>531000</v>
      </c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49">
        <f t="shared" si="29"/>
        <v>531000</v>
      </c>
      <c r="AC253" s="49">
        <f t="shared" si="26"/>
        <v>0</v>
      </c>
      <c r="AD253" t="s">
        <v>743</v>
      </c>
    </row>
    <row r="254" spans="1:30">
      <c r="A254" s="64" t="s">
        <v>347</v>
      </c>
      <c r="B254" s="64" t="s">
        <v>348</v>
      </c>
      <c r="C254" s="64" t="s">
        <v>349</v>
      </c>
      <c r="D254" s="64">
        <v>0</v>
      </c>
      <c r="E254" s="64">
        <v>5168000</v>
      </c>
      <c r="F254" s="64">
        <f t="shared" si="32"/>
        <v>5168000</v>
      </c>
      <c r="G254" s="64" t="s">
        <v>8</v>
      </c>
      <c r="H254" s="65">
        <f t="shared" si="33"/>
        <v>5168000</v>
      </c>
      <c r="I254" s="65"/>
      <c r="J254" s="64"/>
      <c r="K254" s="65"/>
      <c r="L254" s="65">
        <f>+H254</f>
        <v>5168000</v>
      </c>
      <c r="M254" s="64"/>
      <c r="N254" s="64"/>
      <c r="O254" s="65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49">
        <f t="shared" si="29"/>
        <v>5168000</v>
      </c>
      <c r="AC254" s="49">
        <f t="shared" si="26"/>
        <v>0</v>
      </c>
      <c r="AD254" t="s">
        <v>743</v>
      </c>
    </row>
    <row r="255" spans="1:30">
      <c r="A255" s="64" t="s">
        <v>347</v>
      </c>
      <c r="B255" s="64" t="s">
        <v>350</v>
      </c>
      <c r="C255" s="64" t="s">
        <v>351</v>
      </c>
      <c r="D255" s="64">
        <v>0</v>
      </c>
      <c r="E255" s="64">
        <v>14000000</v>
      </c>
      <c r="F255" s="64">
        <f t="shared" si="32"/>
        <v>14000000</v>
      </c>
      <c r="G255" s="64" t="s">
        <v>8</v>
      </c>
      <c r="H255" s="65">
        <f t="shared" si="33"/>
        <v>14000000</v>
      </c>
      <c r="I255" s="65"/>
      <c r="J255" s="64"/>
      <c r="K255" s="64"/>
      <c r="L255" s="64"/>
      <c r="M255" s="64"/>
      <c r="N255" s="64"/>
      <c r="O255" s="64"/>
      <c r="P255" s="65">
        <f>+H255</f>
        <v>14000000</v>
      </c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49">
        <f t="shared" si="29"/>
        <v>14000000</v>
      </c>
      <c r="AC255" s="49">
        <f t="shared" si="26"/>
        <v>0</v>
      </c>
      <c r="AD255" t="s">
        <v>743</v>
      </c>
    </row>
    <row r="256" spans="1:30">
      <c r="A256" s="64" t="s">
        <v>347</v>
      </c>
      <c r="B256" s="64" t="s">
        <v>914</v>
      </c>
      <c r="C256" s="64" t="s">
        <v>1163</v>
      </c>
      <c r="D256" s="64"/>
      <c r="E256" s="64"/>
      <c r="F256" s="64"/>
      <c r="H256" s="64">
        <v>266000</v>
      </c>
      <c r="I256" s="64"/>
      <c r="J256" s="64"/>
      <c r="K256" s="64"/>
      <c r="M256" s="64">
        <f>+H256</f>
        <v>266000</v>
      </c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49">
        <f t="shared" si="29"/>
        <v>266000</v>
      </c>
      <c r="AC256" s="49"/>
    </row>
    <row r="257" spans="1:29">
      <c r="A257" s="64"/>
      <c r="B257" s="64"/>
      <c r="C257" s="64"/>
      <c r="D257" s="64"/>
      <c r="E257" s="64"/>
      <c r="F257" s="64"/>
      <c r="G257" s="64"/>
      <c r="H257" s="65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49"/>
      <c r="AC257" s="49"/>
    </row>
    <row r="258" spans="1:29">
      <c r="A258" s="64"/>
      <c r="B258" s="64"/>
      <c r="C258" s="64"/>
      <c r="D258" s="64"/>
      <c r="E258" s="64"/>
      <c r="F258" s="64"/>
      <c r="G258" s="64"/>
      <c r="H258" s="65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49"/>
      <c r="AC258" s="49"/>
    </row>
  </sheetData>
  <autoFilter ref="A1:AD256">
    <sortState ref="A2:AD256">
      <sortCondition ref="A2:A256"/>
    </sortState>
  </autoFilter>
  <sortState ref="A2:AD257">
    <sortCondition ref="H4:H257"/>
  </sortState>
  <phoneticPr fontId="2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4"/>
  <sheetViews>
    <sheetView workbookViewId="0">
      <pane ySplit="5" topLeftCell="A9" activePane="bottomLeft" state="frozen"/>
      <selection pane="bottomLeft" sqref="A1:XFD5"/>
    </sheetView>
  </sheetViews>
  <sheetFormatPr defaultColWidth="9" defaultRowHeight="13"/>
  <cols>
    <col min="1" max="1" width="10.08203125" style="61" bestFit="1" customWidth="1"/>
    <col min="2" max="2" width="28.08203125" style="61" bestFit="1" customWidth="1"/>
    <col min="3" max="3" width="12.83203125" style="61" customWidth="1"/>
    <col min="4" max="4" width="12" style="61" bestFit="1" customWidth="1"/>
    <col min="5" max="5" width="11.75" style="61" customWidth="1"/>
    <col min="6" max="6" width="12" style="67" bestFit="1" customWidth="1"/>
    <col min="7" max="7" width="11.75" style="61" bestFit="1" customWidth="1"/>
    <col min="8" max="8" width="9.33203125" style="61" bestFit="1" customWidth="1"/>
    <col min="9" max="9" width="11.25" style="61" bestFit="1" customWidth="1"/>
    <col min="10" max="10" width="12.75" style="61" bestFit="1" customWidth="1"/>
    <col min="11" max="11" width="10.25" style="61" bestFit="1" customWidth="1"/>
    <col min="12" max="12" width="9.08203125" style="61" bestFit="1" customWidth="1"/>
    <col min="13" max="13" width="10.25" style="61" bestFit="1" customWidth="1"/>
    <col min="14" max="14" width="11.08203125" style="61" bestFit="1" customWidth="1"/>
    <col min="15" max="16" width="9.08203125" style="61" bestFit="1" customWidth="1"/>
    <col min="17" max="17" width="10.08203125" style="61" bestFit="1" customWidth="1"/>
    <col min="18" max="27" width="9.08203125" style="61" bestFit="1" customWidth="1"/>
    <col min="28" max="28" width="13.25" style="61" bestFit="1" customWidth="1"/>
    <col min="29" max="29" width="10" style="61" bestFit="1" customWidth="1"/>
    <col min="30" max="16384" width="9" style="61"/>
  </cols>
  <sheetData>
    <row r="1" spans="1:29">
      <c r="G1" s="75">
        <v>4145</v>
      </c>
    </row>
    <row r="2" spans="1:29">
      <c r="D2" s="76" t="s">
        <v>484</v>
      </c>
      <c r="E2" s="77" t="s">
        <v>482</v>
      </c>
      <c r="F2" s="80" t="s">
        <v>483</v>
      </c>
    </row>
    <row r="3" spans="1:29" s="78" customFormat="1" ht="39">
      <c r="A3" s="42" t="s">
        <v>15</v>
      </c>
      <c r="B3" s="43" t="s">
        <v>0</v>
      </c>
      <c r="C3" s="43" t="s">
        <v>1</v>
      </c>
      <c r="D3" s="44" t="s">
        <v>2</v>
      </c>
      <c r="E3" s="44" t="s">
        <v>3</v>
      </c>
      <c r="F3" s="45" t="s">
        <v>4</v>
      </c>
      <c r="G3" s="43" t="s">
        <v>16</v>
      </c>
      <c r="H3" s="43" t="s">
        <v>37</v>
      </c>
      <c r="I3" s="42" t="s">
        <v>17</v>
      </c>
      <c r="J3" s="42" t="s">
        <v>62</v>
      </c>
      <c r="K3" s="42" t="s">
        <v>18</v>
      </c>
      <c r="L3" s="45" t="s">
        <v>19</v>
      </c>
      <c r="M3" s="42" t="s">
        <v>20</v>
      </c>
      <c r="N3" s="42" t="s">
        <v>21</v>
      </c>
      <c r="O3" s="42" t="s">
        <v>22</v>
      </c>
      <c r="P3" s="42" t="s">
        <v>23</v>
      </c>
      <c r="Q3" s="43" t="s">
        <v>24</v>
      </c>
      <c r="R3" s="43" t="s">
        <v>25</v>
      </c>
      <c r="S3" s="43" t="s">
        <v>26</v>
      </c>
      <c r="T3" s="43" t="s">
        <v>27</v>
      </c>
      <c r="U3" s="43" t="s">
        <v>28</v>
      </c>
      <c r="V3" s="43" t="s">
        <v>29</v>
      </c>
      <c r="W3" s="43" t="s">
        <v>30</v>
      </c>
      <c r="X3" s="43" t="s">
        <v>31</v>
      </c>
      <c r="Y3" s="43" t="s">
        <v>32</v>
      </c>
      <c r="Z3" s="43" t="s">
        <v>33</v>
      </c>
      <c r="AA3" s="43" t="s">
        <v>34</v>
      </c>
      <c r="AB3" s="43" t="s">
        <v>35</v>
      </c>
      <c r="AC3" s="43" t="s">
        <v>36</v>
      </c>
    </row>
    <row r="4" spans="1:29">
      <c r="A4" s="47"/>
      <c r="B4" s="47"/>
      <c r="C4" s="48"/>
      <c r="D4" s="49">
        <f t="shared" ref="D4:E4" si="0">SUM(D6:D162)</f>
        <v>252525.89608400004</v>
      </c>
      <c r="E4" s="49">
        <f t="shared" si="0"/>
        <v>6302615.2300000004</v>
      </c>
      <c r="F4" s="50">
        <f>SUM(F6:F162)</f>
        <v>6050089.3339159992</v>
      </c>
      <c r="G4" s="49"/>
      <c r="H4" s="49">
        <f>+AB4</f>
        <v>6302615.2300000004</v>
      </c>
      <c r="I4" s="49">
        <f>SUM(I6:I162)</f>
        <v>2774173</v>
      </c>
      <c r="J4" s="49">
        <f>SUM(J6:J162)</f>
        <v>1762775.23</v>
      </c>
      <c r="K4" s="49">
        <f t="shared" ref="K4:AA4" si="1">SUM(K6:K162)</f>
        <v>149600</v>
      </c>
      <c r="L4" s="49">
        <f t="shared" si="1"/>
        <v>0</v>
      </c>
      <c r="M4" s="49">
        <f t="shared" si="1"/>
        <v>37000</v>
      </c>
      <c r="N4" s="49">
        <f t="shared" si="1"/>
        <v>310000</v>
      </c>
      <c r="O4" s="49">
        <f t="shared" si="1"/>
        <v>822500</v>
      </c>
      <c r="P4" s="49">
        <f t="shared" si="1"/>
        <v>218067</v>
      </c>
      <c r="Q4" s="49">
        <f t="shared" si="1"/>
        <v>228500</v>
      </c>
      <c r="R4" s="49">
        <f t="shared" si="1"/>
        <v>0</v>
      </c>
      <c r="S4" s="49">
        <f t="shared" si="1"/>
        <v>0</v>
      </c>
      <c r="T4" s="49">
        <f t="shared" si="1"/>
        <v>0</v>
      </c>
      <c r="U4" s="49">
        <f t="shared" si="1"/>
        <v>0</v>
      </c>
      <c r="V4" s="49">
        <f t="shared" si="1"/>
        <v>0</v>
      </c>
      <c r="W4" s="49">
        <f t="shared" si="1"/>
        <v>0</v>
      </c>
      <c r="X4" s="49">
        <f t="shared" si="1"/>
        <v>0</v>
      </c>
      <c r="Y4" s="49">
        <f t="shared" si="1"/>
        <v>0</v>
      </c>
      <c r="Z4" s="49">
        <f t="shared" si="1"/>
        <v>0</v>
      </c>
      <c r="AA4" s="49">
        <f t="shared" si="1"/>
        <v>0</v>
      </c>
      <c r="AB4" s="49">
        <f>SUM(I4:AA4)</f>
        <v>6302615.2300000004</v>
      </c>
      <c r="AC4" s="49">
        <f>SUM(AC6:AC162)</f>
        <v>0</v>
      </c>
    </row>
    <row r="5" spans="1:29">
      <c r="A5" s="51"/>
      <c r="B5" s="51"/>
      <c r="C5" s="52"/>
      <c r="D5" s="53"/>
      <c r="E5" s="53"/>
      <c r="F5" s="54">
        <v>1</v>
      </c>
      <c r="G5" s="55"/>
      <c r="H5" s="56"/>
      <c r="I5" s="55">
        <f>+I4/$H$4</f>
        <v>0.44016220231803677</v>
      </c>
      <c r="J5" s="57"/>
      <c r="K5" s="55">
        <f t="shared" ref="K5:AC5" si="2">+K4/$H$4</f>
        <v>2.3736178481579304E-2</v>
      </c>
      <c r="L5" s="55">
        <f t="shared" si="2"/>
        <v>0</v>
      </c>
      <c r="M5" s="55">
        <f t="shared" si="2"/>
        <v>5.8705789025296409E-3</v>
      </c>
      <c r="N5" s="55">
        <f t="shared" si="2"/>
        <v>4.9185931345518609E-2</v>
      </c>
      <c r="O5" s="55">
        <f t="shared" si="2"/>
        <v>0.13050138236028727</v>
      </c>
      <c r="P5" s="55">
        <f t="shared" si="2"/>
        <v>3.459944674426841E-2</v>
      </c>
      <c r="Q5" s="55">
        <f t="shared" si="2"/>
        <v>3.6254791330487104E-2</v>
      </c>
      <c r="R5" s="55">
        <f t="shared" si="2"/>
        <v>0</v>
      </c>
      <c r="S5" s="55">
        <f t="shared" si="2"/>
        <v>0</v>
      </c>
      <c r="T5" s="55">
        <f t="shared" si="2"/>
        <v>0</v>
      </c>
      <c r="U5" s="55">
        <f t="shared" si="2"/>
        <v>0</v>
      </c>
      <c r="V5" s="55">
        <f t="shared" si="2"/>
        <v>0</v>
      </c>
      <c r="W5" s="55">
        <f t="shared" si="2"/>
        <v>0</v>
      </c>
      <c r="X5" s="55">
        <f t="shared" si="2"/>
        <v>0</v>
      </c>
      <c r="Y5" s="55">
        <f t="shared" si="2"/>
        <v>0</v>
      </c>
      <c r="Z5" s="55">
        <f t="shared" si="2"/>
        <v>0</v>
      </c>
      <c r="AA5" s="55">
        <f t="shared" si="2"/>
        <v>0</v>
      </c>
      <c r="AB5" s="55">
        <f t="shared" si="2"/>
        <v>1</v>
      </c>
      <c r="AC5" s="57">
        <f t="shared" si="2"/>
        <v>0</v>
      </c>
    </row>
    <row r="6" spans="1:29">
      <c r="A6" s="64" t="s">
        <v>501</v>
      </c>
      <c r="B6" s="64" t="s">
        <v>485</v>
      </c>
      <c r="C6" s="64" t="s">
        <v>486</v>
      </c>
      <c r="D6" s="64">
        <v>0</v>
      </c>
      <c r="E6" s="64">
        <v>1880000</v>
      </c>
      <c r="F6" s="81">
        <f>+E6-D6</f>
        <v>1880000</v>
      </c>
      <c r="G6" s="64" t="s">
        <v>8</v>
      </c>
      <c r="H6" s="65">
        <f>+E6</f>
        <v>1880000</v>
      </c>
      <c r="I6" s="65">
        <f>+H6</f>
        <v>1880000</v>
      </c>
      <c r="J6" s="64"/>
      <c r="K6" s="65"/>
      <c r="L6" s="64"/>
      <c r="M6" s="64"/>
      <c r="N6" s="64"/>
      <c r="O6" s="65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49">
        <f>SUM(I6:AA6)</f>
        <v>1880000</v>
      </c>
      <c r="AC6" s="49">
        <f>+AB6-H6</f>
        <v>0</v>
      </c>
    </row>
    <row r="7" spans="1:29">
      <c r="A7" s="64" t="s">
        <v>501</v>
      </c>
      <c r="B7" s="64" t="s">
        <v>487</v>
      </c>
      <c r="C7" s="64" t="s">
        <v>488</v>
      </c>
      <c r="D7" s="64">
        <v>28181.818181999999</v>
      </c>
      <c r="E7" s="64">
        <v>310000</v>
      </c>
      <c r="F7" s="81">
        <f t="shared" ref="F7:F70" si="3">+E7-D7</f>
        <v>281818.18181799998</v>
      </c>
      <c r="G7" s="64" t="s">
        <v>8</v>
      </c>
      <c r="H7" s="65">
        <f t="shared" ref="H7:H33" si="4">+E7</f>
        <v>310000</v>
      </c>
      <c r="I7" s="65"/>
      <c r="J7" s="64"/>
      <c r="K7" s="64"/>
      <c r="L7" s="64"/>
      <c r="M7" s="64"/>
      <c r="N7" s="65">
        <f>+H7</f>
        <v>310000</v>
      </c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49">
        <f>SUM(I7:AA7)</f>
        <v>310000</v>
      </c>
      <c r="AC7" s="49">
        <f t="shared" ref="AC7:AC70" si="5">+AB7-H7</f>
        <v>0</v>
      </c>
    </row>
    <row r="8" spans="1:29">
      <c r="A8" s="64" t="s">
        <v>502</v>
      </c>
      <c r="B8" s="64" t="s">
        <v>103</v>
      </c>
      <c r="C8" s="64" t="s">
        <v>104</v>
      </c>
      <c r="D8" s="64">
        <v>8427.27</v>
      </c>
      <c r="E8" s="64">
        <v>92700</v>
      </c>
      <c r="F8" s="81">
        <f t="shared" si="3"/>
        <v>84272.73</v>
      </c>
      <c r="G8" s="64" t="s">
        <v>8</v>
      </c>
      <c r="H8" s="65">
        <f t="shared" si="4"/>
        <v>92700</v>
      </c>
      <c r="I8" s="65">
        <f>+H8</f>
        <v>92700</v>
      </c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49">
        <f t="shared" ref="AB8:AB71" si="6">SUM(I8:AA8)</f>
        <v>92700</v>
      </c>
      <c r="AC8" s="49">
        <f t="shared" si="5"/>
        <v>0</v>
      </c>
    </row>
    <row r="9" spans="1:29">
      <c r="A9" s="64" t="s">
        <v>502</v>
      </c>
      <c r="B9" s="64" t="s">
        <v>178</v>
      </c>
      <c r="C9" s="64" t="s">
        <v>179</v>
      </c>
      <c r="D9" s="64">
        <v>20772.73</v>
      </c>
      <c r="E9" s="64">
        <v>228500</v>
      </c>
      <c r="F9" s="81">
        <f t="shared" si="3"/>
        <v>207727.27</v>
      </c>
      <c r="G9" s="64" t="s">
        <v>8</v>
      </c>
      <c r="H9" s="65">
        <f t="shared" si="4"/>
        <v>228500</v>
      </c>
      <c r="I9" s="64"/>
      <c r="J9" s="64"/>
      <c r="K9" s="64"/>
      <c r="L9" s="64"/>
      <c r="M9" s="64"/>
      <c r="N9" s="64"/>
      <c r="O9" s="64"/>
      <c r="P9" s="64"/>
      <c r="Q9" s="65">
        <f>+H9</f>
        <v>228500</v>
      </c>
      <c r="R9" s="64"/>
      <c r="S9" s="64"/>
      <c r="T9" s="64"/>
      <c r="U9" s="64"/>
      <c r="V9" s="64"/>
      <c r="W9" s="64"/>
      <c r="X9" s="64"/>
      <c r="Y9" s="64"/>
      <c r="Z9" s="64"/>
      <c r="AA9" s="64"/>
      <c r="AB9" s="49">
        <f t="shared" si="6"/>
        <v>228500</v>
      </c>
      <c r="AC9" s="49">
        <f t="shared" si="5"/>
        <v>0</v>
      </c>
    </row>
    <row r="10" spans="1:29">
      <c r="A10" s="64" t="s">
        <v>502</v>
      </c>
      <c r="B10" s="64" t="s">
        <v>103</v>
      </c>
      <c r="C10" s="64" t="s">
        <v>104</v>
      </c>
      <c r="D10" s="64">
        <v>3840</v>
      </c>
      <c r="E10" s="64">
        <v>42240</v>
      </c>
      <c r="F10" s="81">
        <f t="shared" si="3"/>
        <v>38400</v>
      </c>
      <c r="G10" s="64" t="s">
        <v>8</v>
      </c>
      <c r="H10" s="65">
        <f t="shared" si="4"/>
        <v>42240</v>
      </c>
      <c r="I10" s="65">
        <f>+H10</f>
        <v>42240</v>
      </c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49">
        <f t="shared" si="6"/>
        <v>42240</v>
      </c>
      <c r="AC10" s="49">
        <f t="shared" si="5"/>
        <v>0</v>
      </c>
    </row>
    <row r="11" spans="1:29">
      <c r="A11" s="64" t="s">
        <v>503</v>
      </c>
      <c r="B11" s="64" t="s">
        <v>489</v>
      </c>
      <c r="C11" s="64" t="s">
        <v>490</v>
      </c>
      <c r="D11" s="64">
        <v>13599.999980000001</v>
      </c>
      <c r="E11" s="64">
        <v>149600</v>
      </c>
      <c r="F11" s="81">
        <f t="shared" si="3"/>
        <v>136000.00002000001</v>
      </c>
      <c r="G11" s="64" t="s">
        <v>8</v>
      </c>
      <c r="H11" s="65">
        <f t="shared" si="4"/>
        <v>149600</v>
      </c>
      <c r="I11" s="64"/>
      <c r="J11" s="64"/>
      <c r="K11" s="65">
        <f>+H11</f>
        <v>149600</v>
      </c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49">
        <f t="shared" si="6"/>
        <v>149600</v>
      </c>
      <c r="AC11" s="49">
        <f t="shared" si="5"/>
        <v>0</v>
      </c>
    </row>
    <row r="12" spans="1:29">
      <c r="A12" s="64" t="s">
        <v>504</v>
      </c>
      <c r="B12" s="64" t="s">
        <v>393</v>
      </c>
      <c r="C12" s="64" t="s">
        <v>394</v>
      </c>
      <c r="D12" s="64">
        <v>0</v>
      </c>
      <c r="E12" s="64">
        <v>37000</v>
      </c>
      <c r="F12" s="81">
        <f t="shared" si="3"/>
        <v>37000</v>
      </c>
      <c r="G12" s="64" t="s">
        <v>8</v>
      </c>
      <c r="H12" s="65">
        <f t="shared" si="4"/>
        <v>37000</v>
      </c>
      <c r="I12" s="65"/>
      <c r="J12" s="64"/>
      <c r="K12" s="64"/>
      <c r="L12" s="64"/>
      <c r="M12" s="65">
        <f>+H12</f>
        <v>37000</v>
      </c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49">
        <f t="shared" si="6"/>
        <v>37000</v>
      </c>
      <c r="AC12" s="49">
        <f t="shared" si="5"/>
        <v>0</v>
      </c>
    </row>
    <row r="13" spans="1:29">
      <c r="A13" s="64" t="s">
        <v>504</v>
      </c>
      <c r="B13" s="64" t="s">
        <v>209</v>
      </c>
      <c r="C13" s="64" t="s">
        <v>210</v>
      </c>
      <c r="D13" s="64">
        <v>6363.64</v>
      </c>
      <c r="E13" s="64">
        <v>70000</v>
      </c>
      <c r="F13" s="81">
        <f t="shared" si="3"/>
        <v>63636.36</v>
      </c>
      <c r="G13" s="64" t="s">
        <v>8</v>
      </c>
      <c r="H13" s="65">
        <f t="shared" si="4"/>
        <v>70000</v>
      </c>
      <c r="I13" s="82">
        <f>+H13</f>
        <v>70000</v>
      </c>
      <c r="J13" s="64"/>
      <c r="K13" s="64"/>
      <c r="L13" s="64"/>
      <c r="M13" s="65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49">
        <f t="shared" si="6"/>
        <v>70000</v>
      </c>
      <c r="AC13" s="49">
        <f t="shared" si="5"/>
        <v>0</v>
      </c>
    </row>
    <row r="14" spans="1:29">
      <c r="A14" s="64" t="s">
        <v>504</v>
      </c>
      <c r="B14" s="64" t="s">
        <v>103</v>
      </c>
      <c r="C14" s="64" t="s">
        <v>104</v>
      </c>
      <c r="D14" s="64">
        <v>10083.6</v>
      </c>
      <c r="E14" s="64">
        <v>111000</v>
      </c>
      <c r="F14" s="81">
        <f t="shared" si="3"/>
        <v>100916.4</v>
      </c>
      <c r="G14" s="64" t="s">
        <v>8</v>
      </c>
      <c r="H14" s="65">
        <f t="shared" si="4"/>
        <v>111000</v>
      </c>
      <c r="I14" s="65">
        <f>+H14</f>
        <v>111000</v>
      </c>
      <c r="J14" s="64"/>
      <c r="K14" s="65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49">
        <f t="shared" si="6"/>
        <v>111000</v>
      </c>
      <c r="AC14" s="49">
        <f t="shared" si="5"/>
        <v>0</v>
      </c>
    </row>
    <row r="15" spans="1:29">
      <c r="A15" s="64" t="s">
        <v>505</v>
      </c>
      <c r="B15" s="64" t="s">
        <v>243</v>
      </c>
      <c r="C15" s="64" t="s">
        <v>244</v>
      </c>
      <c r="D15" s="64">
        <v>15000</v>
      </c>
      <c r="E15" s="64">
        <v>165000</v>
      </c>
      <c r="F15" s="81">
        <f t="shared" si="3"/>
        <v>150000</v>
      </c>
      <c r="G15" s="64" t="s">
        <v>8</v>
      </c>
      <c r="H15" s="65">
        <f t="shared" si="4"/>
        <v>165000</v>
      </c>
      <c r="I15" s="82"/>
      <c r="J15" s="64"/>
      <c r="K15" s="64"/>
      <c r="L15" s="64"/>
      <c r="M15" s="64"/>
      <c r="N15" s="64"/>
      <c r="O15" s="65">
        <f>+H15</f>
        <v>165000</v>
      </c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49">
        <f t="shared" si="6"/>
        <v>165000</v>
      </c>
      <c r="AC15" s="49">
        <f t="shared" si="5"/>
        <v>0</v>
      </c>
    </row>
    <row r="16" spans="1:29">
      <c r="A16" s="64" t="s">
        <v>505</v>
      </c>
      <c r="B16" s="64" t="s">
        <v>103</v>
      </c>
      <c r="C16" s="64" t="s">
        <v>104</v>
      </c>
      <c r="D16" s="64">
        <v>8522.73</v>
      </c>
      <c r="E16" s="64">
        <v>93750</v>
      </c>
      <c r="F16" s="81">
        <f t="shared" si="3"/>
        <v>85227.27</v>
      </c>
      <c r="G16" s="64" t="s">
        <v>8</v>
      </c>
      <c r="H16" s="65">
        <f t="shared" si="4"/>
        <v>93750</v>
      </c>
      <c r="I16" s="82">
        <f>+H16</f>
        <v>93750</v>
      </c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49">
        <f t="shared" si="6"/>
        <v>93750</v>
      </c>
      <c r="AC16" s="49">
        <f t="shared" si="5"/>
        <v>0</v>
      </c>
    </row>
    <row r="17" spans="1:29">
      <c r="A17" s="64" t="s">
        <v>506</v>
      </c>
      <c r="B17" s="64" t="s">
        <v>103</v>
      </c>
      <c r="C17" s="64" t="s">
        <v>104</v>
      </c>
      <c r="D17" s="64">
        <v>5545.45</v>
      </c>
      <c r="E17" s="64">
        <v>61000</v>
      </c>
      <c r="F17" s="81">
        <f t="shared" si="3"/>
        <v>55454.55</v>
      </c>
      <c r="G17" s="64" t="s">
        <v>8</v>
      </c>
      <c r="H17" s="65">
        <f t="shared" si="4"/>
        <v>61000</v>
      </c>
      <c r="I17" s="65">
        <f>+H17</f>
        <v>61000</v>
      </c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49">
        <f t="shared" si="6"/>
        <v>61000</v>
      </c>
      <c r="AC17" s="49">
        <f t="shared" si="5"/>
        <v>0</v>
      </c>
    </row>
    <row r="18" spans="1:29">
      <c r="A18" s="64" t="s">
        <v>506</v>
      </c>
      <c r="B18" s="64" t="s">
        <v>491</v>
      </c>
      <c r="C18" s="64" t="s">
        <v>492</v>
      </c>
      <c r="D18" s="64">
        <v>3609.09</v>
      </c>
      <c r="E18" s="64">
        <v>39700</v>
      </c>
      <c r="F18" s="81">
        <f t="shared" si="3"/>
        <v>36090.910000000003</v>
      </c>
      <c r="G18" s="64" t="s">
        <v>8</v>
      </c>
      <c r="H18" s="65">
        <f t="shared" si="4"/>
        <v>39700</v>
      </c>
      <c r="I18" s="65">
        <f>+H18</f>
        <v>39700</v>
      </c>
      <c r="J18" s="65"/>
      <c r="K18" s="82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49">
        <f t="shared" si="6"/>
        <v>39700</v>
      </c>
      <c r="AC18" s="49">
        <f t="shared" si="5"/>
        <v>0</v>
      </c>
    </row>
    <row r="19" spans="1:29">
      <c r="A19" s="64" t="s">
        <v>506</v>
      </c>
      <c r="B19" s="64" t="s">
        <v>245</v>
      </c>
      <c r="C19" s="64" t="s">
        <v>246</v>
      </c>
      <c r="D19" s="64">
        <v>11523.91</v>
      </c>
      <c r="E19" s="64">
        <v>126763</v>
      </c>
      <c r="F19" s="81">
        <f t="shared" si="3"/>
        <v>115239.09</v>
      </c>
      <c r="G19" s="64" t="s">
        <v>8</v>
      </c>
      <c r="H19" s="65">
        <f t="shared" si="4"/>
        <v>126763</v>
      </c>
      <c r="I19" s="65">
        <f>+H19</f>
        <v>126763</v>
      </c>
      <c r="J19" s="65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49">
        <f t="shared" si="6"/>
        <v>126763</v>
      </c>
      <c r="AC19" s="49">
        <f t="shared" si="5"/>
        <v>0</v>
      </c>
    </row>
    <row r="20" spans="1:29">
      <c r="A20" s="64" t="s">
        <v>506</v>
      </c>
      <c r="B20" s="64" t="s">
        <v>103</v>
      </c>
      <c r="C20" s="64" t="s">
        <v>104</v>
      </c>
      <c r="D20" s="64">
        <v>818.18</v>
      </c>
      <c r="E20" s="64">
        <v>9000</v>
      </c>
      <c r="F20" s="81">
        <f t="shared" si="3"/>
        <v>8181.82</v>
      </c>
      <c r="G20" s="64" t="s">
        <v>8</v>
      </c>
      <c r="H20" s="65">
        <f t="shared" si="4"/>
        <v>9000</v>
      </c>
      <c r="I20" s="65">
        <f>+H20</f>
        <v>9000</v>
      </c>
      <c r="J20" s="65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49">
        <f t="shared" si="6"/>
        <v>9000</v>
      </c>
      <c r="AC20" s="49">
        <f t="shared" si="5"/>
        <v>0</v>
      </c>
    </row>
    <row r="21" spans="1:29">
      <c r="A21" s="64" t="s">
        <v>507</v>
      </c>
      <c r="B21" s="64" t="s">
        <v>374</v>
      </c>
      <c r="C21" s="64" t="s">
        <v>375</v>
      </c>
      <c r="D21" s="64">
        <v>5418.181818</v>
      </c>
      <c r="E21" s="64">
        <v>59600</v>
      </c>
      <c r="F21" s="81">
        <f t="shared" si="3"/>
        <v>54181.818182000003</v>
      </c>
      <c r="G21" s="64" t="s">
        <v>8</v>
      </c>
      <c r="H21" s="65">
        <f t="shared" si="4"/>
        <v>59600</v>
      </c>
      <c r="I21" s="64"/>
      <c r="J21" s="64"/>
      <c r="K21" s="64"/>
      <c r="L21" s="64"/>
      <c r="M21" s="64"/>
      <c r="N21" s="64"/>
      <c r="O21" s="65">
        <f>+H21</f>
        <v>59600</v>
      </c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49">
        <f t="shared" si="6"/>
        <v>59600</v>
      </c>
      <c r="AC21" s="49">
        <f t="shared" si="5"/>
        <v>0</v>
      </c>
    </row>
    <row r="22" spans="1:29">
      <c r="A22" s="64" t="s">
        <v>508</v>
      </c>
      <c r="B22" s="64" t="s">
        <v>493</v>
      </c>
      <c r="C22" s="64" t="s">
        <v>494</v>
      </c>
      <c r="D22" s="64">
        <v>545.45000000000005</v>
      </c>
      <c r="E22" s="64">
        <v>6000</v>
      </c>
      <c r="F22" s="81">
        <f t="shared" si="3"/>
        <v>5454.55</v>
      </c>
      <c r="G22" s="64" t="s">
        <v>8</v>
      </c>
      <c r="H22" s="65">
        <f t="shared" si="4"/>
        <v>6000</v>
      </c>
      <c r="I22" s="64"/>
      <c r="J22" s="64"/>
      <c r="K22" s="64"/>
      <c r="L22" s="64"/>
      <c r="M22" s="64"/>
      <c r="N22" s="64"/>
      <c r="O22" s="65">
        <f>+H22</f>
        <v>6000</v>
      </c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49">
        <f t="shared" si="6"/>
        <v>6000</v>
      </c>
      <c r="AC22" s="49">
        <f t="shared" si="5"/>
        <v>0</v>
      </c>
    </row>
    <row r="23" spans="1:29">
      <c r="A23" s="64" t="s">
        <v>508</v>
      </c>
      <c r="B23" s="64" t="s">
        <v>249</v>
      </c>
      <c r="C23" s="64" t="s">
        <v>250</v>
      </c>
      <c r="D23" s="64">
        <v>8900</v>
      </c>
      <c r="E23" s="64">
        <v>97900</v>
      </c>
      <c r="F23" s="81">
        <f t="shared" si="3"/>
        <v>89000</v>
      </c>
      <c r="G23" s="64" t="s">
        <v>8</v>
      </c>
      <c r="H23" s="65">
        <f t="shared" si="4"/>
        <v>97900</v>
      </c>
      <c r="I23" s="64"/>
      <c r="J23" s="64"/>
      <c r="K23" s="64"/>
      <c r="L23" s="64"/>
      <c r="M23" s="64"/>
      <c r="N23" s="64"/>
      <c r="O23" s="65">
        <f>+H23</f>
        <v>97900</v>
      </c>
      <c r="P23" s="64"/>
      <c r="Q23" s="65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49">
        <f t="shared" si="6"/>
        <v>97900</v>
      </c>
      <c r="AC23" s="49">
        <f t="shared" si="5"/>
        <v>0</v>
      </c>
    </row>
    <row r="24" spans="1:29">
      <c r="A24" s="64" t="s">
        <v>508</v>
      </c>
      <c r="B24" s="64" t="s">
        <v>261</v>
      </c>
      <c r="C24" s="64" t="s">
        <v>262</v>
      </c>
      <c r="D24" s="64">
        <v>1818.181818</v>
      </c>
      <c r="E24" s="64">
        <v>20000</v>
      </c>
      <c r="F24" s="81">
        <f t="shared" si="3"/>
        <v>18181.818181999999</v>
      </c>
      <c r="G24" s="64" t="s">
        <v>8</v>
      </c>
      <c r="H24" s="65">
        <f t="shared" si="4"/>
        <v>20000</v>
      </c>
      <c r="I24" s="65"/>
      <c r="J24" s="64"/>
      <c r="K24" s="64"/>
      <c r="L24" s="64"/>
      <c r="M24" s="64"/>
      <c r="N24" s="64"/>
      <c r="O24" s="65">
        <f>+H24</f>
        <v>20000</v>
      </c>
      <c r="P24" s="65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49">
        <f t="shared" si="6"/>
        <v>20000</v>
      </c>
      <c r="AC24" s="49">
        <f t="shared" si="5"/>
        <v>0</v>
      </c>
    </row>
    <row r="25" spans="1:29">
      <c r="A25" s="64" t="s">
        <v>508</v>
      </c>
      <c r="B25" s="64" t="s">
        <v>156</v>
      </c>
      <c r="C25" s="64" t="s">
        <v>157</v>
      </c>
      <c r="D25" s="64">
        <v>12187.91</v>
      </c>
      <c r="E25" s="64">
        <v>134067</v>
      </c>
      <c r="F25" s="81">
        <f t="shared" si="3"/>
        <v>121879.09</v>
      </c>
      <c r="G25" s="64" t="s">
        <v>8</v>
      </c>
      <c r="H25" s="65">
        <f t="shared" si="4"/>
        <v>134067</v>
      </c>
      <c r="I25" s="64"/>
      <c r="J25" s="64"/>
      <c r="K25" s="64"/>
      <c r="L25" s="64"/>
      <c r="M25" s="64"/>
      <c r="N25" s="64"/>
      <c r="O25" s="64"/>
      <c r="P25" s="65">
        <f>+H25</f>
        <v>134067</v>
      </c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49">
        <f t="shared" si="6"/>
        <v>134067</v>
      </c>
      <c r="AC25" s="49">
        <f t="shared" si="5"/>
        <v>0</v>
      </c>
    </row>
    <row r="26" spans="1:29">
      <c r="A26" s="64" t="s">
        <v>508</v>
      </c>
      <c r="B26" s="64" t="s">
        <v>276</v>
      </c>
      <c r="C26" s="64" t="s">
        <v>277</v>
      </c>
      <c r="D26" s="64">
        <v>20363.64</v>
      </c>
      <c r="E26" s="64">
        <v>224000</v>
      </c>
      <c r="F26" s="81">
        <f t="shared" si="3"/>
        <v>203636.36</v>
      </c>
      <c r="G26" s="64" t="s">
        <v>8</v>
      </c>
      <c r="H26" s="65">
        <f t="shared" si="4"/>
        <v>224000</v>
      </c>
      <c r="I26" s="64"/>
      <c r="J26" s="64"/>
      <c r="K26" s="64"/>
      <c r="L26" s="64"/>
      <c r="M26" s="64"/>
      <c r="N26" s="82"/>
      <c r="O26" s="65">
        <f>+H26</f>
        <v>224000</v>
      </c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49">
        <f t="shared" si="6"/>
        <v>224000</v>
      </c>
      <c r="AC26" s="49">
        <f t="shared" si="5"/>
        <v>0</v>
      </c>
    </row>
    <row r="27" spans="1:29">
      <c r="A27" s="64" t="s">
        <v>508</v>
      </c>
      <c r="B27" s="64" t="s">
        <v>276</v>
      </c>
      <c r="C27" s="64" t="s">
        <v>277</v>
      </c>
      <c r="D27" s="64">
        <v>22727.27</v>
      </c>
      <c r="E27" s="64">
        <v>250000</v>
      </c>
      <c r="F27" s="81">
        <f t="shared" si="3"/>
        <v>227272.73</v>
      </c>
      <c r="G27" s="64" t="s">
        <v>8</v>
      </c>
      <c r="H27" s="65">
        <f t="shared" si="4"/>
        <v>250000</v>
      </c>
      <c r="I27" s="64"/>
      <c r="J27" s="82"/>
      <c r="K27" s="64"/>
      <c r="L27" s="64"/>
      <c r="M27" s="64"/>
      <c r="N27" s="64"/>
      <c r="O27" s="65">
        <f>+H27</f>
        <v>250000</v>
      </c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49">
        <f t="shared" si="6"/>
        <v>250000</v>
      </c>
      <c r="AC27" s="49">
        <f t="shared" si="5"/>
        <v>0</v>
      </c>
    </row>
    <row r="28" spans="1:29">
      <c r="A28" s="64" t="s">
        <v>508</v>
      </c>
      <c r="B28" s="64" t="s">
        <v>89</v>
      </c>
      <c r="C28" s="64" t="s">
        <v>90</v>
      </c>
      <c r="D28" s="64">
        <v>20323.214285999999</v>
      </c>
      <c r="E28" s="64">
        <v>227620</v>
      </c>
      <c r="F28" s="81">
        <f t="shared" si="3"/>
        <v>207296.785714</v>
      </c>
      <c r="G28" s="64" t="s">
        <v>8</v>
      </c>
      <c r="H28" s="65">
        <f t="shared" si="4"/>
        <v>227620</v>
      </c>
      <c r="I28" s="65">
        <f>+H28</f>
        <v>227620</v>
      </c>
      <c r="J28" s="82"/>
      <c r="K28" s="64"/>
      <c r="L28" s="64"/>
      <c r="M28" s="64"/>
      <c r="N28" s="64"/>
      <c r="O28" s="64"/>
      <c r="P28" s="64"/>
      <c r="Q28" s="65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49">
        <f t="shared" si="6"/>
        <v>227620</v>
      </c>
      <c r="AC28" s="49">
        <f t="shared" si="5"/>
        <v>0</v>
      </c>
    </row>
    <row r="29" spans="1:29">
      <c r="A29" s="64" t="s">
        <v>508</v>
      </c>
      <c r="B29" s="64" t="s">
        <v>156</v>
      </c>
      <c r="C29" s="64" t="s">
        <v>157</v>
      </c>
      <c r="D29" s="64">
        <v>7636.36</v>
      </c>
      <c r="E29" s="64">
        <v>84000</v>
      </c>
      <c r="F29" s="81">
        <f t="shared" si="3"/>
        <v>76363.64</v>
      </c>
      <c r="G29" s="64" t="s">
        <v>8</v>
      </c>
      <c r="H29" s="65">
        <f t="shared" si="4"/>
        <v>84000</v>
      </c>
      <c r="I29" s="65"/>
      <c r="J29" s="64"/>
      <c r="K29" s="64"/>
      <c r="L29" s="64"/>
      <c r="M29" s="64"/>
      <c r="N29" s="64"/>
      <c r="O29" s="64"/>
      <c r="P29" s="65">
        <f>+H29</f>
        <v>84000</v>
      </c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49">
        <f t="shared" si="6"/>
        <v>84000</v>
      </c>
      <c r="AC29" s="49">
        <f t="shared" si="5"/>
        <v>0</v>
      </c>
    </row>
    <row r="30" spans="1:29">
      <c r="A30" s="64" t="s">
        <v>508</v>
      </c>
      <c r="B30" s="64" t="s">
        <v>495</v>
      </c>
      <c r="C30" s="64" t="s">
        <v>496</v>
      </c>
      <c r="D30" s="64">
        <v>1445.45</v>
      </c>
      <c r="E30" s="64">
        <v>15900</v>
      </c>
      <c r="F30" s="81">
        <f t="shared" si="3"/>
        <v>14454.55</v>
      </c>
      <c r="G30" s="64" t="s">
        <v>8</v>
      </c>
      <c r="H30" s="65">
        <f t="shared" si="4"/>
        <v>15900</v>
      </c>
      <c r="I30" s="65">
        <f>+H30</f>
        <v>15900</v>
      </c>
      <c r="J30" s="64"/>
      <c r="K30" s="64"/>
      <c r="L30" s="64"/>
      <c r="M30" s="65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49">
        <f t="shared" si="6"/>
        <v>15900</v>
      </c>
      <c r="AC30" s="49">
        <f t="shared" si="5"/>
        <v>0</v>
      </c>
    </row>
    <row r="31" spans="1:29">
      <c r="A31" s="64" t="s">
        <v>508</v>
      </c>
      <c r="B31" s="64" t="s">
        <v>497</v>
      </c>
      <c r="C31" s="64" t="s">
        <v>498</v>
      </c>
      <c r="D31" s="64">
        <v>14462.73</v>
      </c>
      <c r="E31" s="64">
        <v>159090</v>
      </c>
      <c r="F31" s="81">
        <f t="shared" si="3"/>
        <v>144627.26999999999</v>
      </c>
      <c r="G31" s="64" t="s">
        <v>8</v>
      </c>
      <c r="H31" s="65">
        <f t="shared" si="4"/>
        <v>159090</v>
      </c>
      <c r="I31" s="82"/>
      <c r="J31" s="65">
        <f>+H31</f>
        <v>159090</v>
      </c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49">
        <f t="shared" si="6"/>
        <v>159090</v>
      </c>
      <c r="AC31" s="49">
        <f t="shared" si="5"/>
        <v>0</v>
      </c>
    </row>
    <row r="32" spans="1:29">
      <c r="A32" s="64" t="s">
        <v>509</v>
      </c>
      <c r="B32" s="64" t="s">
        <v>59</v>
      </c>
      <c r="C32" s="64" t="s">
        <v>60</v>
      </c>
      <c r="D32" s="64">
        <v>0</v>
      </c>
      <c r="E32" s="64">
        <v>1603685.23</v>
      </c>
      <c r="F32" s="81">
        <f t="shared" si="3"/>
        <v>1603685.23</v>
      </c>
      <c r="G32" s="64" t="s">
        <v>55</v>
      </c>
      <c r="H32" s="65">
        <f t="shared" si="4"/>
        <v>1603685.23</v>
      </c>
      <c r="I32" s="65"/>
      <c r="J32" s="65">
        <f>+H32</f>
        <v>1603685.23</v>
      </c>
      <c r="K32" s="64"/>
      <c r="L32" s="64"/>
      <c r="M32" s="82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49">
        <f t="shared" si="6"/>
        <v>1603685.23</v>
      </c>
      <c r="AC32" s="49">
        <f t="shared" si="5"/>
        <v>0</v>
      </c>
    </row>
    <row r="33" spans="1:29">
      <c r="A33" s="64" t="s">
        <v>510</v>
      </c>
      <c r="B33" s="64" t="s">
        <v>499</v>
      </c>
      <c r="C33" s="64" t="s">
        <v>500</v>
      </c>
      <c r="D33" s="64">
        <v>409.09</v>
      </c>
      <c r="E33" s="64">
        <v>4500</v>
      </c>
      <c r="F33" s="81">
        <f t="shared" si="3"/>
        <v>4090.91</v>
      </c>
      <c r="G33" s="64" t="s">
        <v>8</v>
      </c>
      <c r="H33" s="65">
        <f t="shared" si="4"/>
        <v>4500</v>
      </c>
      <c r="I33" s="82">
        <f>+H33</f>
        <v>4500</v>
      </c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49">
        <f t="shared" si="6"/>
        <v>4500</v>
      </c>
      <c r="AC33" s="49">
        <f t="shared" si="5"/>
        <v>0</v>
      </c>
    </row>
    <row r="34" spans="1:29">
      <c r="F34" s="67">
        <f t="shared" si="3"/>
        <v>0</v>
      </c>
      <c r="G34" s="61" t="s">
        <v>55</v>
      </c>
      <c r="H34" s="174">
        <f t="shared" ref="H34:H70" si="7">+F34</f>
        <v>0</v>
      </c>
      <c r="AB34" s="175">
        <f t="shared" si="6"/>
        <v>0</v>
      </c>
      <c r="AC34" s="175">
        <f t="shared" si="5"/>
        <v>0</v>
      </c>
    </row>
    <row r="35" spans="1:29">
      <c r="F35" s="67">
        <f t="shared" si="3"/>
        <v>0</v>
      </c>
      <c r="G35" s="61" t="s">
        <v>55</v>
      </c>
      <c r="H35" s="65">
        <f t="shared" si="7"/>
        <v>0</v>
      </c>
      <c r="I35" s="79"/>
      <c r="M35" s="79"/>
      <c r="AB35" s="49">
        <f t="shared" si="6"/>
        <v>0</v>
      </c>
      <c r="AC35" s="49">
        <f t="shared" si="5"/>
        <v>0</v>
      </c>
    </row>
    <row r="36" spans="1:29">
      <c r="F36" s="67">
        <f t="shared" si="3"/>
        <v>0</v>
      </c>
      <c r="G36" s="61" t="s">
        <v>8</v>
      </c>
      <c r="H36" s="65">
        <f t="shared" si="7"/>
        <v>0</v>
      </c>
      <c r="AB36" s="49">
        <f t="shared" si="6"/>
        <v>0</v>
      </c>
      <c r="AC36" s="49">
        <f t="shared" si="5"/>
        <v>0</v>
      </c>
    </row>
    <row r="37" spans="1:29">
      <c r="F37" s="67">
        <f t="shared" si="3"/>
        <v>0</v>
      </c>
      <c r="G37" s="61" t="s">
        <v>8</v>
      </c>
      <c r="H37" s="65">
        <f t="shared" si="7"/>
        <v>0</v>
      </c>
      <c r="I37" s="68"/>
      <c r="AB37" s="49">
        <f t="shared" si="6"/>
        <v>0</v>
      </c>
      <c r="AC37" s="49">
        <f t="shared" si="5"/>
        <v>0</v>
      </c>
    </row>
    <row r="38" spans="1:29">
      <c r="F38" s="67">
        <f t="shared" si="3"/>
        <v>0</v>
      </c>
      <c r="G38" s="61" t="s">
        <v>8</v>
      </c>
      <c r="H38" s="65">
        <f t="shared" si="7"/>
        <v>0</v>
      </c>
      <c r="K38" s="79"/>
      <c r="M38" s="79"/>
      <c r="AB38" s="49">
        <f t="shared" si="6"/>
        <v>0</v>
      </c>
      <c r="AC38" s="49">
        <f t="shared" si="5"/>
        <v>0</v>
      </c>
    </row>
    <row r="39" spans="1:29">
      <c r="F39" s="67">
        <f t="shared" si="3"/>
        <v>0</v>
      </c>
      <c r="G39" s="61" t="s">
        <v>55</v>
      </c>
      <c r="H39" s="65">
        <f t="shared" si="7"/>
        <v>0</v>
      </c>
      <c r="I39" s="68"/>
      <c r="AB39" s="49">
        <f t="shared" si="6"/>
        <v>0</v>
      </c>
      <c r="AC39" s="49">
        <f t="shared" si="5"/>
        <v>0</v>
      </c>
    </row>
    <row r="40" spans="1:29">
      <c r="F40" s="67">
        <f t="shared" si="3"/>
        <v>0</v>
      </c>
      <c r="G40" s="61" t="s">
        <v>8</v>
      </c>
      <c r="H40" s="65">
        <f t="shared" si="7"/>
        <v>0</v>
      </c>
      <c r="I40" s="68"/>
      <c r="K40" s="79"/>
      <c r="AB40" s="49">
        <f t="shared" si="6"/>
        <v>0</v>
      </c>
      <c r="AC40" s="49">
        <f t="shared" si="5"/>
        <v>0</v>
      </c>
    </row>
    <row r="41" spans="1:29">
      <c r="F41" s="67">
        <f t="shared" si="3"/>
        <v>0</v>
      </c>
      <c r="G41" s="61" t="s">
        <v>8</v>
      </c>
      <c r="H41" s="65">
        <f t="shared" si="7"/>
        <v>0</v>
      </c>
      <c r="I41" s="79"/>
      <c r="AB41" s="49">
        <f t="shared" si="6"/>
        <v>0</v>
      </c>
      <c r="AC41" s="49">
        <f t="shared" si="5"/>
        <v>0</v>
      </c>
    </row>
    <row r="42" spans="1:29">
      <c r="F42" s="67">
        <f t="shared" si="3"/>
        <v>0</v>
      </c>
      <c r="G42" s="61" t="s">
        <v>8</v>
      </c>
      <c r="H42" s="65">
        <f t="shared" si="7"/>
        <v>0</v>
      </c>
      <c r="N42" s="68"/>
      <c r="AB42" s="49">
        <f t="shared" si="6"/>
        <v>0</v>
      </c>
      <c r="AC42" s="49">
        <f t="shared" si="5"/>
        <v>0</v>
      </c>
    </row>
    <row r="43" spans="1:29">
      <c r="F43" s="67">
        <f t="shared" si="3"/>
        <v>0</v>
      </c>
      <c r="G43" s="61" t="s">
        <v>8</v>
      </c>
      <c r="H43" s="65">
        <f t="shared" si="7"/>
        <v>0</v>
      </c>
      <c r="AB43" s="49">
        <f t="shared" si="6"/>
        <v>0</v>
      </c>
      <c r="AC43" s="49">
        <f t="shared" si="5"/>
        <v>0</v>
      </c>
    </row>
    <row r="44" spans="1:29">
      <c r="F44" s="67">
        <f t="shared" si="3"/>
        <v>0</v>
      </c>
      <c r="G44" s="61" t="s">
        <v>8</v>
      </c>
      <c r="H44" s="65">
        <f t="shared" si="7"/>
        <v>0</v>
      </c>
      <c r="I44" s="79"/>
      <c r="AB44" s="49">
        <f t="shared" si="6"/>
        <v>0</v>
      </c>
      <c r="AC44" s="49">
        <f t="shared" si="5"/>
        <v>0</v>
      </c>
    </row>
    <row r="45" spans="1:29">
      <c r="F45" s="67">
        <f t="shared" si="3"/>
        <v>0</v>
      </c>
      <c r="G45" s="61" t="s">
        <v>8</v>
      </c>
      <c r="H45" s="65">
        <f t="shared" si="7"/>
        <v>0</v>
      </c>
      <c r="AB45" s="49">
        <f t="shared" si="6"/>
        <v>0</v>
      </c>
      <c r="AC45" s="49">
        <f t="shared" si="5"/>
        <v>0</v>
      </c>
    </row>
    <row r="46" spans="1:29">
      <c r="F46" s="67">
        <f t="shared" si="3"/>
        <v>0</v>
      </c>
      <c r="G46" s="61" t="s">
        <v>8</v>
      </c>
      <c r="H46" s="65">
        <f t="shared" si="7"/>
        <v>0</v>
      </c>
      <c r="J46" s="68"/>
      <c r="AB46" s="49">
        <f t="shared" si="6"/>
        <v>0</v>
      </c>
      <c r="AC46" s="49">
        <f t="shared" si="5"/>
        <v>0</v>
      </c>
    </row>
    <row r="47" spans="1:29">
      <c r="F47" s="67">
        <f t="shared" si="3"/>
        <v>0</v>
      </c>
      <c r="G47" s="61" t="s">
        <v>8</v>
      </c>
      <c r="H47" s="65">
        <f t="shared" si="7"/>
        <v>0</v>
      </c>
      <c r="AB47" s="49">
        <f t="shared" si="6"/>
        <v>0</v>
      </c>
      <c r="AC47" s="49">
        <f t="shared" si="5"/>
        <v>0</v>
      </c>
    </row>
    <row r="48" spans="1:29">
      <c r="F48" s="67">
        <f t="shared" si="3"/>
        <v>0</v>
      </c>
      <c r="G48" s="61" t="s">
        <v>8</v>
      </c>
      <c r="H48" s="65">
        <f t="shared" si="7"/>
        <v>0</v>
      </c>
      <c r="AB48" s="49">
        <f t="shared" si="6"/>
        <v>0</v>
      </c>
      <c r="AC48" s="49">
        <f t="shared" si="5"/>
        <v>0</v>
      </c>
    </row>
    <row r="49" spans="6:29">
      <c r="F49" s="67">
        <f t="shared" si="3"/>
        <v>0</v>
      </c>
      <c r="G49" s="61" t="s">
        <v>8</v>
      </c>
      <c r="H49" s="65">
        <f t="shared" si="7"/>
        <v>0</v>
      </c>
      <c r="I49" s="68"/>
      <c r="AB49" s="49">
        <f t="shared" si="6"/>
        <v>0</v>
      </c>
      <c r="AC49" s="49">
        <f t="shared" si="5"/>
        <v>0</v>
      </c>
    </row>
    <row r="50" spans="6:29">
      <c r="F50" s="67">
        <f t="shared" si="3"/>
        <v>0</v>
      </c>
      <c r="G50" s="61" t="s">
        <v>8</v>
      </c>
      <c r="H50" s="65">
        <f t="shared" si="7"/>
        <v>0</v>
      </c>
      <c r="I50" s="79"/>
      <c r="M50" s="68"/>
      <c r="AB50" s="49">
        <f t="shared" si="6"/>
        <v>0</v>
      </c>
      <c r="AC50" s="49">
        <f t="shared" si="5"/>
        <v>0</v>
      </c>
    </row>
    <row r="51" spans="6:29">
      <c r="F51" s="67">
        <f t="shared" si="3"/>
        <v>0</v>
      </c>
      <c r="G51" s="61" t="s">
        <v>8</v>
      </c>
      <c r="H51" s="65">
        <f t="shared" si="7"/>
        <v>0</v>
      </c>
      <c r="I51" s="79"/>
      <c r="J51" s="79"/>
      <c r="K51" s="79"/>
      <c r="AB51" s="49">
        <f t="shared" si="6"/>
        <v>0</v>
      </c>
      <c r="AC51" s="49">
        <f t="shared" si="5"/>
        <v>0</v>
      </c>
    </row>
    <row r="52" spans="6:29">
      <c r="F52" s="67">
        <f t="shared" si="3"/>
        <v>0</v>
      </c>
      <c r="G52" s="61" t="s">
        <v>8</v>
      </c>
      <c r="H52" s="65">
        <f t="shared" si="7"/>
        <v>0</v>
      </c>
      <c r="AB52" s="49">
        <f t="shared" si="6"/>
        <v>0</v>
      </c>
      <c r="AC52" s="49">
        <f t="shared" si="5"/>
        <v>0</v>
      </c>
    </row>
    <row r="53" spans="6:29">
      <c r="F53" s="67">
        <f t="shared" si="3"/>
        <v>0</v>
      </c>
      <c r="G53" s="61" t="s">
        <v>8</v>
      </c>
      <c r="H53" s="65">
        <f t="shared" si="7"/>
        <v>0</v>
      </c>
      <c r="I53" s="68"/>
      <c r="AB53" s="49">
        <f t="shared" si="6"/>
        <v>0</v>
      </c>
      <c r="AC53" s="49">
        <f t="shared" si="5"/>
        <v>0</v>
      </c>
    </row>
    <row r="54" spans="6:29">
      <c r="F54" s="67">
        <f t="shared" si="3"/>
        <v>0</v>
      </c>
      <c r="G54" s="61" t="s">
        <v>8</v>
      </c>
      <c r="H54" s="65">
        <f t="shared" si="7"/>
        <v>0</v>
      </c>
      <c r="I54" s="68"/>
      <c r="AB54" s="49">
        <f t="shared" si="6"/>
        <v>0</v>
      </c>
      <c r="AC54" s="49">
        <f t="shared" si="5"/>
        <v>0</v>
      </c>
    </row>
    <row r="55" spans="6:29">
      <c r="F55" s="67">
        <f t="shared" si="3"/>
        <v>0</v>
      </c>
      <c r="G55" s="61" t="s">
        <v>55</v>
      </c>
      <c r="H55" s="65">
        <f t="shared" si="7"/>
        <v>0</v>
      </c>
      <c r="AB55" s="49">
        <f t="shared" si="6"/>
        <v>0</v>
      </c>
      <c r="AC55" s="49">
        <f t="shared" si="5"/>
        <v>0</v>
      </c>
    </row>
    <row r="56" spans="6:29">
      <c r="F56" s="67">
        <f t="shared" si="3"/>
        <v>0</v>
      </c>
      <c r="G56" s="61" t="s">
        <v>8</v>
      </c>
      <c r="H56" s="65">
        <f t="shared" si="7"/>
        <v>0</v>
      </c>
      <c r="J56" s="79"/>
      <c r="K56" s="68"/>
      <c r="AB56" s="49">
        <f t="shared" si="6"/>
        <v>0</v>
      </c>
      <c r="AC56" s="49">
        <f t="shared" si="5"/>
        <v>0</v>
      </c>
    </row>
    <row r="57" spans="6:29">
      <c r="F57" s="67">
        <f t="shared" si="3"/>
        <v>0</v>
      </c>
      <c r="G57" s="61" t="s">
        <v>8</v>
      </c>
      <c r="H57" s="65">
        <f t="shared" si="7"/>
        <v>0</v>
      </c>
      <c r="K57" s="68"/>
      <c r="AB57" s="49">
        <f t="shared" si="6"/>
        <v>0</v>
      </c>
      <c r="AC57" s="49">
        <f t="shared" si="5"/>
        <v>0</v>
      </c>
    </row>
    <row r="58" spans="6:29">
      <c r="F58" s="67">
        <f t="shared" si="3"/>
        <v>0</v>
      </c>
      <c r="G58" s="61" t="s">
        <v>8</v>
      </c>
      <c r="H58" s="65">
        <f t="shared" si="7"/>
        <v>0</v>
      </c>
      <c r="I58" s="79"/>
      <c r="K58" s="68"/>
      <c r="AB58" s="49">
        <f t="shared" si="6"/>
        <v>0</v>
      </c>
      <c r="AC58" s="49">
        <f t="shared" si="5"/>
        <v>0</v>
      </c>
    </row>
    <row r="59" spans="6:29">
      <c r="F59" s="67">
        <f t="shared" si="3"/>
        <v>0</v>
      </c>
      <c r="G59" s="61" t="s">
        <v>8</v>
      </c>
      <c r="H59" s="65">
        <f t="shared" si="7"/>
        <v>0</v>
      </c>
      <c r="I59" s="79"/>
      <c r="AB59" s="49">
        <f t="shared" si="6"/>
        <v>0</v>
      </c>
      <c r="AC59" s="49">
        <f t="shared" si="5"/>
        <v>0</v>
      </c>
    </row>
    <row r="60" spans="6:29">
      <c r="F60" s="67">
        <f t="shared" si="3"/>
        <v>0</v>
      </c>
      <c r="G60" s="61" t="s">
        <v>8</v>
      </c>
      <c r="H60" s="65">
        <f t="shared" si="7"/>
        <v>0</v>
      </c>
      <c r="I60" s="79"/>
      <c r="AB60" s="49">
        <f t="shared" si="6"/>
        <v>0</v>
      </c>
      <c r="AC60" s="49">
        <f t="shared" si="5"/>
        <v>0</v>
      </c>
    </row>
    <row r="61" spans="6:29">
      <c r="F61" s="67">
        <f t="shared" si="3"/>
        <v>0</v>
      </c>
      <c r="G61" s="61" t="s">
        <v>8</v>
      </c>
      <c r="H61" s="65">
        <f t="shared" si="7"/>
        <v>0</v>
      </c>
      <c r="I61" s="79"/>
      <c r="M61" s="68"/>
      <c r="AB61" s="49">
        <f t="shared" si="6"/>
        <v>0</v>
      </c>
      <c r="AC61" s="49">
        <f t="shared" si="5"/>
        <v>0</v>
      </c>
    </row>
    <row r="62" spans="6:29">
      <c r="F62" s="67">
        <f t="shared" si="3"/>
        <v>0</v>
      </c>
      <c r="G62" s="61" t="s">
        <v>8</v>
      </c>
      <c r="H62" s="65">
        <f t="shared" si="7"/>
        <v>0</v>
      </c>
      <c r="I62" s="68"/>
      <c r="AB62" s="49">
        <f t="shared" si="6"/>
        <v>0</v>
      </c>
      <c r="AC62" s="49">
        <f t="shared" si="5"/>
        <v>0</v>
      </c>
    </row>
    <row r="63" spans="6:29">
      <c r="F63" s="67">
        <f t="shared" si="3"/>
        <v>0</v>
      </c>
      <c r="G63" s="61" t="s">
        <v>8</v>
      </c>
      <c r="H63" s="65">
        <f t="shared" si="7"/>
        <v>0</v>
      </c>
      <c r="I63" s="79"/>
      <c r="K63" s="68"/>
      <c r="AB63" s="49">
        <f t="shared" si="6"/>
        <v>0</v>
      </c>
      <c r="AC63" s="49">
        <f t="shared" si="5"/>
        <v>0</v>
      </c>
    </row>
    <row r="64" spans="6:29">
      <c r="F64" s="67">
        <f t="shared" si="3"/>
        <v>0</v>
      </c>
      <c r="G64" s="61" t="s">
        <v>8</v>
      </c>
      <c r="H64" s="65">
        <f t="shared" si="7"/>
        <v>0</v>
      </c>
      <c r="AB64" s="49">
        <f t="shared" si="6"/>
        <v>0</v>
      </c>
      <c r="AC64" s="49">
        <f t="shared" si="5"/>
        <v>0</v>
      </c>
    </row>
    <row r="65" spans="6:29">
      <c r="F65" s="67">
        <f t="shared" si="3"/>
        <v>0</v>
      </c>
      <c r="G65" s="61" t="s">
        <v>8</v>
      </c>
      <c r="H65" s="65">
        <f t="shared" si="7"/>
        <v>0</v>
      </c>
      <c r="AB65" s="49">
        <f t="shared" si="6"/>
        <v>0</v>
      </c>
      <c r="AC65" s="49">
        <f t="shared" si="5"/>
        <v>0</v>
      </c>
    </row>
    <row r="66" spans="6:29">
      <c r="F66" s="67">
        <f t="shared" si="3"/>
        <v>0</v>
      </c>
      <c r="G66" s="61" t="s">
        <v>8</v>
      </c>
      <c r="H66" s="65">
        <f t="shared" si="7"/>
        <v>0</v>
      </c>
      <c r="AB66" s="49">
        <f t="shared" si="6"/>
        <v>0</v>
      </c>
      <c r="AC66" s="49">
        <f t="shared" si="5"/>
        <v>0</v>
      </c>
    </row>
    <row r="67" spans="6:29">
      <c r="F67" s="67">
        <f t="shared" si="3"/>
        <v>0</v>
      </c>
      <c r="G67" s="61" t="s">
        <v>55</v>
      </c>
      <c r="H67" s="65">
        <f t="shared" si="7"/>
        <v>0</v>
      </c>
      <c r="M67" s="79"/>
      <c r="AB67" s="49">
        <f t="shared" si="6"/>
        <v>0</v>
      </c>
      <c r="AC67" s="49">
        <f t="shared" si="5"/>
        <v>0</v>
      </c>
    </row>
    <row r="68" spans="6:29">
      <c r="F68" s="67">
        <f t="shared" si="3"/>
        <v>0</v>
      </c>
      <c r="G68" s="61" t="s">
        <v>55</v>
      </c>
      <c r="H68" s="65">
        <f t="shared" si="7"/>
        <v>0</v>
      </c>
      <c r="AB68" s="49">
        <f t="shared" si="6"/>
        <v>0</v>
      </c>
      <c r="AC68" s="49">
        <f t="shared" si="5"/>
        <v>0</v>
      </c>
    </row>
    <row r="69" spans="6:29">
      <c r="F69" s="67">
        <f t="shared" si="3"/>
        <v>0</v>
      </c>
      <c r="G69" s="61" t="s">
        <v>8</v>
      </c>
      <c r="H69" s="65">
        <f t="shared" si="7"/>
        <v>0</v>
      </c>
      <c r="AB69" s="49">
        <f t="shared" si="6"/>
        <v>0</v>
      </c>
      <c r="AC69" s="49">
        <f t="shared" si="5"/>
        <v>0</v>
      </c>
    </row>
    <row r="70" spans="6:29">
      <c r="F70" s="67">
        <f t="shared" si="3"/>
        <v>0</v>
      </c>
      <c r="G70" s="61" t="s">
        <v>55</v>
      </c>
      <c r="H70" s="65">
        <f t="shared" si="7"/>
        <v>0</v>
      </c>
      <c r="AB70" s="49">
        <f t="shared" si="6"/>
        <v>0</v>
      </c>
      <c r="AC70" s="49">
        <f t="shared" si="5"/>
        <v>0</v>
      </c>
    </row>
    <row r="71" spans="6:29">
      <c r="F71" s="67">
        <f t="shared" ref="F71:F134" si="8">+E71-D71</f>
        <v>0</v>
      </c>
      <c r="G71" s="61" t="s">
        <v>8</v>
      </c>
      <c r="H71" s="65">
        <f t="shared" ref="H71:H134" si="9">+F71</f>
        <v>0</v>
      </c>
      <c r="AB71" s="49">
        <f t="shared" si="6"/>
        <v>0</v>
      </c>
      <c r="AC71" s="49">
        <f t="shared" ref="AC71:AC134" si="10">+AB71-H71</f>
        <v>0</v>
      </c>
    </row>
    <row r="72" spans="6:29">
      <c r="F72" s="67">
        <f t="shared" si="8"/>
        <v>0</v>
      </c>
      <c r="G72" s="61" t="s">
        <v>8</v>
      </c>
      <c r="H72" s="65">
        <f t="shared" si="9"/>
        <v>0</v>
      </c>
      <c r="AB72" s="49">
        <f t="shared" ref="AB72:AB134" si="11">SUM(I72:AA72)</f>
        <v>0</v>
      </c>
      <c r="AC72" s="49">
        <f t="shared" si="10"/>
        <v>0</v>
      </c>
    </row>
    <row r="73" spans="6:29">
      <c r="F73" s="67">
        <f t="shared" si="8"/>
        <v>0</v>
      </c>
      <c r="G73" s="61" t="s">
        <v>8</v>
      </c>
      <c r="H73" s="65">
        <f t="shared" si="9"/>
        <v>0</v>
      </c>
      <c r="AB73" s="49">
        <f t="shared" si="11"/>
        <v>0</v>
      </c>
      <c r="AC73" s="49">
        <f t="shared" si="10"/>
        <v>0</v>
      </c>
    </row>
    <row r="74" spans="6:29">
      <c r="F74" s="67">
        <f t="shared" si="8"/>
        <v>0</v>
      </c>
      <c r="G74" s="61" t="s">
        <v>8</v>
      </c>
      <c r="H74" s="65">
        <f t="shared" si="9"/>
        <v>0</v>
      </c>
      <c r="AB74" s="49">
        <f t="shared" si="11"/>
        <v>0</v>
      </c>
      <c r="AC74" s="49">
        <f t="shared" si="10"/>
        <v>0</v>
      </c>
    </row>
    <row r="75" spans="6:29">
      <c r="F75" s="67">
        <f t="shared" si="8"/>
        <v>0</v>
      </c>
      <c r="G75" s="61" t="s">
        <v>8</v>
      </c>
      <c r="H75" s="65">
        <f t="shared" si="9"/>
        <v>0</v>
      </c>
      <c r="AB75" s="49">
        <f t="shared" si="11"/>
        <v>0</v>
      </c>
      <c r="AC75" s="49">
        <f t="shared" si="10"/>
        <v>0</v>
      </c>
    </row>
    <row r="76" spans="6:29">
      <c r="F76" s="67">
        <f t="shared" si="8"/>
        <v>0</v>
      </c>
      <c r="G76" s="61" t="s">
        <v>8</v>
      </c>
      <c r="H76" s="65">
        <f t="shared" si="9"/>
        <v>0</v>
      </c>
      <c r="AB76" s="49">
        <f t="shared" si="11"/>
        <v>0</v>
      </c>
      <c r="AC76" s="49">
        <f t="shared" si="10"/>
        <v>0</v>
      </c>
    </row>
    <row r="77" spans="6:29">
      <c r="F77" s="67">
        <f t="shared" si="8"/>
        <v>0</v>
      </c>
      <c r="G77" s="61" t="s">
        <v>8</v>
      </c>
      <c r="H77" s="65">
        <f t="shared" si="9"/>
        <v>0</v>
      </c>
      <c r="AB77" s="49">
        <f t="shared" si="11"/>
        <v>0</v>
      </c>
      <c r="AC77" s="49">
        <f t="shared" si="10"/>
        <v>0</v>
      </c>
    </row>
    <row r="78" spans="6:29">
      <c r="F78" s="67">
        <f t="shared" si="8"/>
        <v>0</v>
      </c>
      <c r="G78" s="61" t="s">
        <v>8</v>
      </c>
      <c r="H78" s="65">
        <f t="shared" si="9"/>
        <v>0</v>
      </c>
      <c r="AB78" s="49">
        <f t="shared" si="11"/>
        <v>0</v>
      </c>
      <c r="AC78" s="49">
        <f t="shared" si="10"/>
        <v>0</v>
      </c>
    </row>
    <row r="79" spans="6:29">
      <c r="F79" s="67">
        <f t="shared" si="8"/>
        <v>0</v>
      </c>
      <c r="G79" s="61" t="s">
        <v>8</v>
      </c>
      <c r="H79" s="65">
        <f t="shared" si="9"/>
        <v>0</v>
      </c>
      <c r="AB79" s="49">
        <f t="shared" si="11"/>
        <v>0</v>
      </c>
      <c r="AC79" s="49">
        <f t="shared" si="10"/>
        <v>0</v>
      </c>
    </row>
    <row r="80" spans="6:29">
      <c r="F80" s="67">
        <f t="shared" si="8"/>
        <v>0</v>
      </c>
      <c r="G80" s="61" t="s">
        <v>8</v>
      </c>
      <c r="H80" s="65">
        <f t="shared" si="9"/>
        <v>0</v>
      </c>
      <c r="AB80" s="49">
        <f t="shared" si="11"/>
        <v>0</v>
      </c>
      <c r="AC80" s="49">
        <f t="shared" si="10"/>
        <v>0</v>
      </c>
    </row>
    <row r="81" spans="1:29">
      <c r="F81" s="67">
        <f t="shared" si="8"/>
        <v>0</v>
      </c>
      <c r="G81" s="61" t="s">
        <v>8</v>
      </c>
      <c r="H81" s="65">
        <f t="shared" si="9"/>
        <v>0</v>
      </c>
      <c r="AB81" s="49">
        <f t="shared" si="11"/>
        <v>0</v>
      </c>
      <c r="AC81" s="49">
        <f t="shared" si="10"/>
        <v>0</v>
      </c>
    </row>
    <row r="82" spans="1:29">
      <c r="F82" s="67">
        <f t="shared" si="8"/>
        <v>0</v>
      </c>
      <c r="G82" s="61" t="s">
        <v>8</v>
      </c>
      <c r="H82" s="65">
        <f t="shared" si="9"/>
        <v>0</v>
      </c>
      <c r="AB82" s="49">
        <f t="shared" si="11"/>
        <v>0</v>
      </c>
      <c r="AC82" s="49">
        <f t="shared" si="10"/>
        <v>0</v>
      </c>
    </row>
    <row r="83" spans="1:29">
      <c r="F83" s="67">
        <f t="shared" si="8"/>
        <v>0</v>
      </c>
      <c r="G83" s="61" t="s">
        <v>8</v>
      </c>
      <c r="H83" s="65">
        <f t="shared" si="9"/>
        <v>0</v>
      </c>
      <c r="AB83" s="49">
        <f t="shared" si="11"/>
        <v>0</v>
      </c>
      <c r="AC83" s="49">
        <f t="shared" si="10"/>
        <v>0</v>
      </c>
    </row>
    <row r="84" spans="1:29">
      <c r="F84" s="67">
        <f t="shared" si="8"/>
        <v>0</v>
      </c>
      <c r="G84" s="61" t="s">
        <v>8</v>
      </c>
      <c r="H84" s="65">
        <f t="shared" si="9"/>
        <v>0</v>
      </c>
      <c r="AB84" s="49">
        <f t="shared" si="11"/>
        <v>0</v>
      </c>
      <c r="AC84" s="49">
        <f t="shared" si="10"/>
        <v>0</v>
      </c>
    </row>
    <row r="85" spans="1:29">
      <c r="F85" s="67">
        <f t="shared" si="8"/>
        <v>0</v>
      </c>
      <c r="G85" s="61" t="s">
        <v>8</v>
      </c>
      <c r="H85" s="65">
        <f t="shared" si="9"/>
        <v>0</v>
      </c>
      <c r="AB85" s="49">
        <f t="shared" si="11"/>
        <v>0</v>
      </c>
      <c r="AC85" s="49">
        <f t="shared" si="10"/>
        <v>0</v>
      </c>
    </row>
    <row r="86" spans="1:29" ht="15.5">
      <c r="A86" s="66"/>
      <c r="B86" s="66"/>
      <c r="C86" s="66"/>
      <c r="D86" s="66"/>
      <c r="E86" s="66"/>
      <c r="F86" s="69">
        <f t="shared" si="8"/>
        <v>0</v>
      </c>
      <c r="G86" s="66" t="s">
        <v>8</v>
      </c>
      <c r="H86" s="70">
        <f t="shared" si="9"/>
        <v>0</v>
      </c>
      <c r="AB86" s="6">
        <f t="shared" si="11"/>
        <v>0</v>
      </c>
      <c r="AC86" s="6">
        <f t="shared" si="10"/>
        <v>0</v>
      </c>
    </row>
    <row r="87" spans="1:29" ht="15.5">
      <c r="A87" s="66"/>
      <c r="B87" s="66"/>
      <c r="C87" s="66"/>
      <c r="D87" s="66"/>
      <c r="E87" s="66"/>
      <c r="F87" s="69">
        <f t="shared" si="8"/>
        <v>0</v>
      </c>
      <c r="G87" s="66" t="s">
        <v>8</v>
      </c>
      <c r="H87" s="70">
        <f t="shared" si="9"/>
        <v>0</v>
      </c>
      <c r="AB87" s="6">
        <f t="shared" si="11"/>
        <v>0</v>
      </c>
      <c r="AC87" s="6">
        <f t="shared" si="10"/>
        <v>0</v>
      </c>
    </row>
    <row r="88" spans="1:29" ht="15.5">
      <c r="A88" s="66"/>
      <c r="B88" s="66"/>
      <c r="C88" s="66"/>
      <c r="D88" s="66"/>
      <c r="E88" s="66"/>
      <c r="F88" s="69">
        <f t="shared" si="8"/>
        <v>0</v>
      </c>
      <c r="G88" s="66" t="s">
        <v>8</v>
      </c>
      <c r="H88" s="70">
        <f t="shared" si="9"/>
        <v>0</v>
      </c>
      <c r="AB88" s="6">
        <f t="shared" si="11"/>
        <v>0</v>
      </c>
      <c r="AC88" s="6">
        <f t="shared" si="10"/>
        <v>0</v>
      </c>
    </row>
    <row r="89" spans="1:29" ht="15.5">
      <c r="A89" s="66"/>
      <c r="B89" s="66"/>
      <c r="C89" s="66"/>
      <c r="D89" s="66"/>
      <c r="E89" s="66"/>
      <c r="F89" s="69">
        <f t="shared" si="8"/>
        <v>0</v>
      </c>
      <c r="G89" s="66" t="s">
        <v>8</v>
      </c>
      <c r="H89" s="70">
        <f t="shared" si="9"/>
        <v>0</v>
      </c>
      <c r="AB89" s="6">
        <f t="shared" si="11"/>
        <v>0</v>
      </c>
      <c r="AC89" s="6">
        <f t="shared" si="10"/>
        <v>0</v>
      </c>
    </row>
    <row r="90" spans="1:29" ht="15.5">
      <c r="A90" s="66"/>
      <c r="B90" s="66"/>
      <c r="C90" s="66"/>
      <c r="D90" s="66"/>
      <c r="E90" s="66"/>
      <c r="F90" s="69">
        <f t="shared" si="8"/>
        <v>0</v>
      </c>
      <c r="G90" s="66" t="s">
        <v>8</v>
      </c>
      <c r="H90" s="70">
        <f t="shared" si="9"/>
        <v>0</v>
      </c>
      <c r="AB90" s="6">
        <f t="shared" si="11"/>
        <v>0</v>
      </c>
      <c r="AC90" s="6">
        <f t="shared" si="10"/>
        <v>0</v>
      </c>
    </row>
    <row r="91" spans="1:29" ht="15.5">
      <c r="A91" s="66"/>
      <c r="B91" s="66"/>
      <c r="C91" s="66"/>
      <c r="D91" s="66"/>
      <c r="E91" s="66"/>
      <c r="F91" s="69">
        <f t="shared" si="8"/>
        <v>0</v>
      </c>
      <c r="G91" s="66" t="s">
        <v>8</v>
      </c>
      <c r="H91" s="70">
        <f t="shared" si="9"/>
        <v>0</v>
      </c>
      <c r="AB91" s="6">
        <f t="shared" si="11"/>
        <v>0</v>
      </c>
      <c r="AC91" s="6">
        <f t="shared" si="10"/>
        <v>0</v>
      </c>
    </row>
    <row r="92" spans="1:29" ht="15.5">
      <c r="A92" s="66"/>
      <c r="B92" s="66"/>
      <c r="C92" s="66"/>
      <c r="D92" s="66"/>
      <c r="E92" s="66"/>
      <c r="F92" s="69">
        <f t="shared" si="8"/>
        <v>0</v>
      </c>
      <c r="G92" s="66" t="s">
        <v>8</v>
      </c>
      <c r="H92" s="70">
        <f t="shared" si="9"/>
        <v>0</v>
      </c>
      <c r="AB92" s="6">
        <f t="shared" si="11"/>
        <v>0</v>
      </c>
      <c r="AC92" s="6">
        <f t="shared" si="10"/>
        <v>0</v>
      </c>
    </row>
    <row r="93" spans="1:29" ht="15.5">
      <c r="A93" s="66"/>
      <c r="B93" s="66"/>
      <c r="C93" s="66"/>
      <c r="D93" s="66"/>
      <c r="E93" s="66"/>
      <c r="F93" s="69">
        <f t="shared" si="8"/>
        <v>0</v>
      </c>
      <c r="G93" s="66" t="s">
        <v>8</v>
      </c>
      <c r="H93" s="70">
        <f t="shared" si="9"/>
        <v>0</v>
      </c>
      <c r="AB93" s="6">
        <f t="shared" si="11"/>
        <v>0</v>
      </c>
      <c r="AC93" s="6">
        <f t="shared" si="10"/>
        <v>0</v>
      </c>
    </row>
    <row r="94" spans="1:29" ht="15.5">
      <c r="A94" s="66"/>
      <c r="B94" s="66"/>
      <c r="C94" s="66"/>
      <c r="D94" s="66"/>
      <c r="E94" s="66"/>
      <c r="F94" s="69">
        <f t="shared" si="8"/>
        <v>0</v>
      </c>
      <c r="G94" s="66" t="s">
        <v>8</v>
      </c>
      <c r="H94" s="70">
        <f t="shared" si="9"/>
        <v>0</v>
      </c>
      <c r="AB94" s="6">
        <f t="shared" si="11"/>
        <v>0</v>
      </c>
      <c r="AC94" s="6">
        <f t="shared" si="10"/>
        <v>0</v>
      </c>
    </row>
    <row r="95" spans="1:29" ht="15.5">
      <c r="A95" s="66"/>
      <c r="B95" s="66"/>
      <c r="C95" s="66"/>
      <c r="D95" s="66"/>
      <c r="E95" s="66"/>
      <c r="F95" s="69">
        <f t="shared" si="8"/>
        <v>0</v>
      </c>
      <c r="G95" s="66" t="s">
        <v>55</v>
      </c>
      <c r="H95" s="70">
        <f t="shared" si="9"/>
        <v>0</v>
      </c>
      <c r="AB95" s="6">
        <f t="shared" si="11"/>
        <v>0</v>
      </c>
      <c r="AC95" s="6">
        <f t="shared" si="10"/>
        <v>0</v>
      </c>
    </row>
    <row r="96" spans="1:29" ht="15.5">
      <c r="A96" s="66"/>
      <c r="B96" s="66"/>
      <c r="C96" s="66"/>
      <c r="D96" s="66"/>
      <c r="E96" s="66"/>
      <c r="F96" s="69">
        <f t="shared" si="8"/>
        <v>0</v>
      </c>
      <c r="G96" s="66" t="s">
        <v>8</v>
      </c>
      <c r="H96" s="70">
        <f t="shared" si="9"/>
        <v>0</v>
      </c>
      <c r="AB96" s="6">
        <f t="shared" si="11"/>
        <v>0</v>
      </c>
      <c r="AC96" s="6">
        <f t="shared" si="10"/>
        <v>0</v>
      </c>
    </row>
    <row r="97" spans="1:29" ht="15.5">
      <c r="A97" s="66"/>
      <c r="B97" s="66"/>
      <c r="C97" s="66"/>
      <c r="D97" s="66"/>
      <c r="E97" s="66"/>
      <c r="F97" s="69">
        <f t="shared" si="8"/>
        <v>0</v>
      </c>
      <c r="G97" s="66" t="s">
        <v>8</v>
      </c>
      <c r="H97" s="70">
        <f t="shared" si="9"/>
        <v>0</v>
      </c>
      <c r="AB97" s="6">
        <f t="shared" si="11"/>
        <v>0</v>
      </c>
      <c r="AC97" s="6">
        <f t="shared" si="10"/>
        <v>0</v>
      </c>
    </row>
    <row r="98" spans="1:29" ht="15.5">
      <c r="A98" s="66"/>
      <c r="B98" s="66"/>
      <c r="C98" s="66"/>
      <c r="D98" s="66"/>
      <c r="E98" s="66"/>
      <c r="F98" s="69">
        <f t="shared" si="8"/>
        <v>0</v>
      </c>
      <c r="G98" s="66" t="s">
        <v>8</v>
      </c>
      <c r="H98" s="70">
        <f t="shared" si="9"/>
        <v>0</v>
      </c>
      <c r="AB98" s="6">
        <f t="shared" si="11"/>
        <v>0</v>
      </c>
      <c r="AC98" s="6">
        <f t="shared" si="10"/>
        <v>0</v>
      </c>
    </row>
    <row r="99" spans="1:29" ht="15.5">
      <c r="A99" s="66"/>
      <c r="B99" s="66"/>
      <c r="C99" s="66"/>
      <c r="D99" s="66"/>
      <c r="E99" s="66"/>
      <c r="F99" s="69">
        <f t="shared" si="8"/>
        <v>0</v>
      </c>
      <c r="G99" s="66" t="s">
        <v>477</v>
      </c>
      <c r="H99" s="70">
        <f t="shared" si="9"/>
        <v>0</v>
      </c>
      <c r="AB99" s="6">
        <f t="shared" si="11"/>
        <v>0</v>
      </c>
      <c r="AC99" s="6">
        <f t="shared" si="10"/>
        <v>0</v>
      </c>
    </row>
    <row r="100" spans="1:29" ht="15.5">
      <c r="A100" s="66"/>
      <c r="B100" s="66"/>
      <c r="C100" s="66"/>
      <c r="D100" s="66"/>
      <c r="E100" s="66"/>
      <c r="F100" s="69">
        <f t="shared" si="8"/>
        <v>0</v>
      </c>
      <c r="G100" s="66" t="s">
        <v>477</v>
      </c>
      <c r="H100" s="70">
        <f t="shared" si="9"/>
        <v>0</v>
      </c>
      <c r="AB100" s="6">
        <f t="shared" si="11"/>
        <v>0</v>
      </c>
      <c r="AC100" s="6">
        <f t="shared" si="10"/>
        <v>0</v>
      </c>
    </row>
    <row r="101" spans="1:29" ht="15.5">
      <c r="A101" s="66"/>
      <c r="B101" s="66"/>
      <c r="C101" s="66"/>
      <c r="D101" s="66"/>
      <c r="E101" s="66"/>
      <c r="F101" s="69">
        <f t="shared" si="8"/>
        <v>0</v>
      </c>
      <c r="G101" s="66" t="s">
        <v>8</v>
      </c>
      <c r="H101" s="70">
        <f t="shared" si="9"/>
        <v>0</v>
      </c>
      <c r="AB101" s="6">
        <f t="shared" si="11"/>
        <v>0</v>
      </c>
      <c r="AC101" s="6">
        <f t="shared" si="10"/>
        <v>0</v>
      </c>
    </row>
    <row r="102" spans="1:29" ht="15.5">
      <c r="A102" s="66"/>
      <c r="B102" s="66"/>
      <c r="C102" s="66"/>
      <c r="D102" s="66"/>
      <c r="E102" s="66"/>
      <c r="F102" s="69">
        <f t="shared" si="8"/>
        <v>0</v>
      </c>
      <c r="G102" s="66" t="s">
        <v>8</v>
      </c>
      <c r="H102" s="70">
        <f t="shared" si="9"/>
        <v>0</v>
      </c>
      <c r="AB102" s="6">
        <f t="shared" si="11"/>
        <v>0</v>
      </c>
      <c r="AC102" s="6">
        <f t="shared" si="10"/>
        <v>0</v>
      </c>
    </row>
    <row r="103" spans="1:29" ht="15.5">
      <c r="A103" s="66"/>
      <c r="B103" s="66"/>
      <c r="C103" s="66"/>
      <c r="D103" s="66"/>
      <c r="E103" s="66"/>
      <c r="F103" s="69">
        <f t="shared" si="8"/>
        <v>0</v>
      </c>
      <c r="G103" s="66" t="s">
        <v>8</v>
      </c>
      <c r="H103" s="70">
        <f t="shared" si="9"/>
        <v>0</v>
      </c>
      <c r="AB103" s="6">
        <f t="shared" si="11"/>
        <v>0</v>
      </c>
      <c r="AC103" s="6">
        <f t="shared" si="10"/>
        <v>0</v>
      </c>
    </row>
    <row r="104" spans="1:29" ht="15.5">
      <c r="A104" s="66"/>
      <c r="B104" s="66"/>
      <c r="C104" s="66"/>
      <c r="D104" s="66"/>
      <c r="E104" s="66"/>
      <c r="F104" s="69">
        <f t="shared" si="8"/>
        <v>0</v>
      </c>
      <c r="G104" s="66" t="s">
        <v>8</v>
      </c>
      <c r="H104" s="70">
        <f t="shared" si="9"/>
        <v>0</v>
      </c>
      <c r="AB104" s="6">
        <f t="shared" si="11"/>
        <v>0</v>
      </c>
      <c r="AC104" s="6">
        <f t="shared" si="10"/>
        <v>0</v>
      </c>
    </row>
    <row r="105" spans="1:29" ht="15.5">
      <c r="A105" s="66"/>
      <c r="B105" s="66"/>
      <c r="C105" s="66"/>
      <c r="D105" s="66"/>
      <c r="E105" s="66"/>
      <c r="F105" s="69">
        <f t="shared" si="8"/>
        <v>0</v>
      </c>
      <c r="G105" s="66" t="s">
        <v>8</v>
      </c>
      <c r="H105" s="70">
        <f t="shared" si="9"/>
        <v>0</v>
      </c>
      <c r="AB105" s="6">
        <f t="shared" si="11"/>
        <v>0</v>
      </c>
      <c r="AC105" s="6">
        <f t="shared" si="10"/>
        <v>0</v>
      </c>
    </row>
    <row r="106" spans="1:29" ht="15.5">
      <c r="A106" s="66"/>
      <c r="B106" s="66"/>
      <c r="C106" s="66"/>
      <c r="D106" s="66"/>
      <c r="E106" s="66"/>
      <c r="F106" s="69">
        <f t="shared" si="8"/>
        <v>0</v>
      </c>
      <c r="G106" s="66" t="s">
        <v>8</v>
      </c>
      <c r="H106" s="70">
        <f t="shared" si="9"/>
        <v>0</v>
      </c>
      <c r="AB106" s="6">
        <f t="shared" si="11"/>
        <v>0</v>
      </c>
      <c r="AC106" s="6">
        <f t="shared" si="10"/>
        <v>0</v>
      </c>
    </row>
    <row r="107" spans="1:29" ht="15.5">
      <c r="A107" s="66"/>
      <c r="B107" s="66"/>
      <c r="C107" s="66"/>
      <c r="D107" s="66"/>
      <c r="E107" s="66"/>
      <c r="F107" s="69">
        <f t="shared" si="8"/>
        <v>0</v>
      </c>
      <c r="G107" s="66" t="s">
        <v>8</v>
      </c>
      <c r="H107" s="70">
        <f t="shared" si="9"/>
        <v>0</v>
      </c>
      <c r="AB107" s="6">
        <f t="shared" si="11"/>
        <v>0</v>
      </c>
      <c r="AC107" s="6">
        <f t="shared" si="10"/>
        <v>0</v>
      </c>
    </row>
    <row r="108" spans="1:29" ht="15.5">
      <c r="A108" s="66"/>
      <c r="B108" s="66"/>
      <c r="C108" s="66"/>
      <c r="D108" s="66"/>
      <c r="E108" s="66"/>
      <c r="F108" s="69">
        <f t="shared" si="8"/>
        <v>0</v>
      </c>
      <c r="G108" s="66" t="s">
        <v>8</v>
      </c>
      <c r="H108" s="70">
        <f t="shared" si="9"/>
        <v>0</v>
      </c>
      <c r="AB108" s="6">
        <f t="shared" si="11"/>
        <v>0</v>
      </c>
      <c r="AC108" s="6">
        <f t="shared" si="10"/>
        <v>0</v>
      </c>
    </row>
    <row r="109" spans="1:29" ht="15.5">
      <c r="A109" s="66"/>
      <c r="B109" s="66"/>
      <c r="C109" s="66"/>
      <c r="D109" s="66"/>
      <c r="E109" s="66"/>
      <c r="F109" s="69">
        <f t="shared" si="8"/>
        <v>0</v>
      </c>
      <c r="G109" s="66" t="s">
        <v>8</v>
      </c>
      <c r="H109" s="70">
        <f t="shared" si="9"/>
        <v>0</v>
      </c>
      <c r="AB109" s="6">
        <f t="shared" si="11"/>
        <v>0</v>
      </c>
      <c r="AC109" s="6">
        <f t="shared" si="10"/>
        <v>0</v>
      </c>
    </row>
    <row r="110" spans="1:29" ht="15.5">
      <c r="A110" s="66"/>
      <c r="B110" s="66"/>
      <c r="C110" s="66"/>
      <c r="D110" s="66"/>
      <c r="E110" s="66"/>
      <c r="F110" s="69">
        <f t="shared" si="8"/>
        <v>0</v>
      </c>
      <c r="G110" s="66" t="s">
        <v>8</v>
      </c>
      <c r="H110" s="70">
        <f t="shared" si="9"/>
        <v>0</v>
      </c>
      <c r="AB110" s="6">
        <f t="shared" si="11"/>
        <v>0</v>
      </c>
      <c r="AC110" s="6">
        <f t="shared" si="10"/>
        <v>0</v>
      </c>
    </row>
    <row r="111" spans="1:29" ht="15.5">
      <c r="A111" s="66"/>
      <c r="B111" s="66"/>
      <c r="C111" s="66"/>
      <c r="D111" s="66"/>
      <c r="E111" s="66"/>
      <c r="F111" s="69">
        <f t="shared" si="8"/>
        <v>0</v>
      </c>
      <c r="G111" s="66" t="s">
        <v>8</v>
      </c>
      <c r="H111" s="70">
        <f t="shared" si="9"/>
        <v>0</v>
      </c>
      <c r="AB111" s="6">
        <f t="shared" si="11"/>
        <v>0</v>
      </c>
      <c r="AC111" s="6">
        <f t="shared" si="10"/>
        <v>0</v>
      </c>
    </row>
    <row r="112" spans="1:29" ht="15.5">
      <c r="A112" s="66"/>
      <c r="B112" s="66"/>
      <c r="C112" s="66"/>
      <c r="D112" s="66"/>
      <c r="E112" s="66"/>
      <c r="F112" s="69">
        <f t="shared" si="8"/>
        <v>0</v>
      </c>
      <c r="G112" s="66" t="s">
        <v>8</v>
      </c>
      <c r="H112" s="70">
        <f t="shared" si="9"/>
        <v>0</v>
      </c>
      <c r="AB112" s="6">
        <f t="shared" si="11"/>
        <v>0</v>
      </c>
      <c r="AC112" s="6">
        <f t="shared" si="10"/>
        <v>0</v>
      </c>
    </row>
    <row r="113" spans="1:29" ht="15.5">
      <c r="A113" s="66"/>
      <c r="B113" s="66"/>
      <c r="C113" s="66"/>
      <c r="D113" s="66"/>
      <c r="E113" s="66"/>
      <c r="F113" s="69">
        <f t="shared" si="8"/>
        <v>0</v>
      </c>
      <c r="G113" s="66" t="s">
        <v>8</v>
      </c>
      <c r="H113" s="70">
        <f t="shared" si="9"/>
        <v>0</v>
      </c>
      <c r="AB113" s="6">
        <f t="shared" si="11"/>
        <v>0</v>
      </c>
      <c r="AC113" s="6">
        <f t="shared" si="10"/>
        <v>0</v>
      </c>
    </row>
    <row r="114" spans="1:29" ht="15.5">
      <c r="A114" s="66"/>
      <c r="B114" s="66"/>
      <c r="C114" s="66"/>
      <c r="D114" s="66"/>
      <c r="E114" s="66"/>
      <c r="F114" s="69">
        <f t="shared" si="8"/>
        <v>0</v>
      </c>
      <c r="G114" s="66" t="s">
        <v>8</v>
      </c>
      <c r="H114" s="70">
        <f t="shared" si="9"/>
        <v>0</v>
      </c>
      <c r="AB114" s="6">
        <f t="shared" si="11"/>
        <v>0</v>
      </c>
      <c r="AC114" s="6">
        <f t="shared" si="10"/>
        <v>0</v>
      </c>
    </row>
    <row r="115" spans="1:29" ht="15.5">
      <c r="A115" s="66"/>
      <c r="B115" s="66"/>
      <c r="C115" s="66"/>
      <c r="D115" s="66"/>
      <c r="E115" s="66"/>
      <c r="F115" s="69">
        <f t="shared" si="8"/>
        <v>0</v>
      </c>
      <c r="G115" s="66" t="s">
        <v>8</v>
      </c>
      <c r="H115" s="70">
        <f t="shared" si="9"/>
        <v>0</v>
      </c>
      <c r="AB115" s="6">
        <f t="shared" si="11"/>
        <v>0</v>
      </c>
      <c r="AC115" s="6">
        <f t="shared" si="10"/>
        <v>0</v>
      </c>
    </row>
    <row r="116" spans="1:29" ht="15.5">
      <c r="A116" s="66"/>
      <c r="B116" s="66"/>
      <c r="C116" s="66"/>
      <c r="D116" s="66"/>
      <c r="E116" s="66"/>
      <c r="F116" s="69">
        <f t="shared" si="8"/>
        <v>0</v>
      </c>
      <c r="G116" s="66" t="s">
        <v>8</v>
      </c>
      <c r="H116" s="70">
        <f t="shared" si="9"/>
        <v>0</v>
      </c>
      <c r="AB116" s="6">
        <f t="shared" si="11"/>
        <v>0</v>
      </c>
      <c r="AC116" s="6">
        <f t="shared" si="10"/>
        <v>0</v>
      </c>
    </row>
    <row r="117" spans="1:29" ht="15.5">
      <c r="A117" s="66"/>
      <c r="B117" s="66"/>
      <c r="C117" s="66"/>
      <c r="D117" s="66"/>
      <c r="E117" s="66"/>
      <c r="F117" s="69">
        <f t="shared" si="8"/>
        <v>0</v>
      </c>
      <c r="G117" s="66" t="s">
        <v>8</v>
      </c>
      <c r="H117" s="70">
        <f t="shared" si="9"/>
        <v>0</v>
      </c>
      <c r="AB117" s="6">
        <f t="shared" si="11"/>
        <v>0</v>
      </c>
      <c r="AC117" s="6">
        <f t="shared" si="10"/>
        <v>0</v>
      </c>
    </row>
    <row r="118" spans="1:29" ht="15.5">
      <c r="A118" s="66"/>
      <c r="B118" s="66"/>
      <c r="C118" s="66"/>
      <c r="D118" s="66"/>
      <c r="E118" s="66"/>
      <c r="F118" s="69">
        <f t="shared" si="8"/>
        <v>0</v>
      </c>
      <c r="G118" s="66" t="s">
        <v>8</v>
      </c>
      <c r="H118" s="70">
        <f t="shared" si="9"/>
        <v>0</v>
      </c>
      <c r="AB118" s="6">
        <f t="shared" si="11"/>
        <v>0</v>
      </c>
      <c r="AC118" s="6">
        <f t="shared" si="10"/>
        <v>0</v>
      </c>
    </row>
    <row r="119" spans="1:29" ht="15.5">
      <c r="A119" s="66"/>
      <c r="B119" s="66"/>
      <c r="C119" s="66"/>
      <c r="D119" s="66"/>
      <c r="E119" s="66"/>
      <c r="F119" s="69">
        <f t="shared" si="8"/>
        <v>0</v>
      </c>
      <c r="G119" s="66" t="s">
        <v>8</v>
      </c>
      <c r="H119" s="70">
        <f t="shared" si="9"/>
        <v>0</v>
      </c>
      <c r="AB119" s="6">
        <f t="shared" si="11"/>
        <v>0</v>
      </c>
      <c r="AC119" s="6">
        <f t="shared" si="10"/>
        <v>0</v>
      </c>
    </row>
    <row r="120" spans="1:29" ht="15.5">
      <c r="A120" s="66"/>
      <c r="B120" s="66"/>
      <c r="C120" s="66"/>
      <c r="D120" s="66"/>
      <c r="E120" s="66"/>
      <c r="F120" s="69">
        <f t="shared" si="8"/>
        <v>0</v>
      </c>
      <c r="G120" s="66" t="s">
        <v>8</v>
      </c>
      <c r="H120" s="70">
        <f t="shared" si="9"/>
        <v>0</v>
      </c>
      <c r="AB120" s="6">
        <f t="shared" si="11"/>
        <v>0</v>
      </c>
      <c r="AC120" s="6">
        <f t="shared" si="10"/>
        <v>0</v>
      </c>
    </row>
    <row r="121" spans="1:29" ht="15.5">
      <c r="A121" s="66"/>
      <c r="B121" s="66"/>
      <c r="C121" s="66"/>
      <c r="D121" s="66"/>
      <c r="E121" s="66"/>
      <c r="F121" s="69">
        <f t="shared" si="8"/>
        <v>0</v>
      </c>
      <c r="G121" s="66" t="s">
        <v>8</v>
      </c>
      <c r="H121" s="70">
        <f t="shared" si="9"/>
        <v>0</v>
      </c>
      <c r="AB121" s="6">
        <f t="shared" si="11"/>
        <v>0</v>
      </c>
      <c r="AC121" s="6">
        <f t="shared" si="10"/>
        <v>0</v>
      </c>
    </row>
    <row r="122" spans="1:29" ht="15.5">
      <c r="A122" s="66"/>
      <c r="B122" s="66"/>
      <c r="C122" s="66"/>
      <c r="D122" s="66"/>
      <c r="E122" s="66"/>
      <c r="F122" s="69">
        <f t="shared" si="8"/>
        <v>0</v>
      </c>
      <c r="G122" s="66" t="s">
        <v>8</v>
      </c>
      <c r="H122" s="70">
        <f t="shared" si="9"/>
        <v>0</v>
      </c>
      <c r="AB122" s="6">
        <f t="shared" si="11"/>
        <v>0</v>
      </c>
      <c r="AC122" s="6">
        <f t="shared" si="10"/>
        <v>0</v>
      </c>
    </row>
    <row r="123" spans="1:29" ht="15.5">
      <c r="A123" s="66"/>
      <c r="B123" s="66"/>
      <c r="C123" s="66"/>
      <c r="D123" s="66"/>
      <c r="E123" s="66"/>
      <c r="F123" s="69">
        <f t="shared" si="8"/>
        <v>0</v>
      </c>
      <c r="G123" s="66" t="s">
        <v>8</v>
      </c>
      <c r="H123" s="70">
        <f t="shared" si="9"/>
        <v>0</v>
      </c>
      <c r="AB123" s="6">
        <f t="shared" si="11"/>
        <v>0</v>
      </c>
      <c r="AC123" s="6">
        <f t="shared" si="10"/>
        <v>0</v>
      </c>
    </row>
    <row r="124" spans="1:29" ht="15.5">
      <c r="A124" s="66"/>
      <c r="B124" s="66"/>
      <c r="C124" s="66"/>
      <c r="D124" s="66"/>
      <c r="E124" s="66"/>
      <c r="F124" s="69">
        <f t="shared" si="8"/>
        <v>0</v>
      </c>
      <c r="G124" s="66" t="s">
        <v>8</v>
      </c>
      <c r="H124" s="70">
        <f t="shared" si="9"/>
        <v>0</v>
      </c>
      <c r="AB124" s="6">
        <f t="shared" si="11"/>
        <v>0</v>
      </c>
      <c r="AC124" s="6">
        <f t="shared" si="10"/>
        <v>0</v>
      </c>
    </row>
    <row r="125" spans="1:29" ht="15.5">
      <c r="A125" s="66"/>
      <c r="B125" s="66"/>
      <c r="C125" s="66"/>
      <c r="D125" s="66"/>
      <c r="E125" s="66"/>
      <c r="F125" s="69">
        <f t="shared" si="8"/>
        <v>0</v>
      </c>
      <c r="G125" s="66" t="s">
        <v>8</v>
      </c>
      <c r="H125" s="70">
        <f t="shared" si="9"/>
        <v>0</v>
      </c>
      <c r="AB125" s="6">
        <f t="shared" si="11"/>
        <v>0</v>
      </c>
      <c r="AC125" s="6">
        <f t="shared" si="10"/>
        <v>0</v>
      </c>
    </row>
    <row r="126" spans="1:29" ht="15.5">
      <c r="A126" s="66"/>
      <c r="B126" s="66"/>
      <c r="C126" s="66"/>
      <c r="D126" s="66"/>
      <c r="E126" s="66"/>
      <c r="F126" s="69">
        <f t="shared" si="8"/>
        <v>0</v>
      </c>
      <c r="G126" s="66" t="s">
        <v>8</v>
      </c>
      <c r="H126" s="70">
        <f t="shared" si="9"/>
        <v>0</v>
      </c>
      <c r="AB126" s="6">
        <f t="shared" si="11"/>
        <v>0</v>
      </c>
      <c r="AC126" s="6">
        <f t="shared" si="10"/>
        <v>0</v>
      </c>
    </row>
    <row r="127" spans="1:29" ht="15.5">
      <c r="A127" s="66"/>
      <c r="B127" s="66"/>
      <c r="C127" s="66"/>
      <c r="D127" s="66"/>
      <c r="E127" s="66"/>
      <c r="F127" s="69">
        <f t="shared" si="8"/>
        <v>0</v>
      </c>
      <c r="G127" s="66" t="s">
        <v>8</v>
      </c>
      <c r="H127" s="70">
        <f t="shared" si="9"/>
        <v>0</v>
      </c>
      <c r="AB127" s="6">
        <f t="shared" si="11"/>
        <v>0</v>
      </c>
      <c r="AC127" s="6">
        <f t="shared" si="10"/>
        <v>0</v>
      </c>
    </row>
    <row r="128" spans="1:29" ht="15.5">
      <c r="A128" s="66"/>
      <c r="B128" s="66"/>
      <c r="C128" s="66"/>
      <c r="D128" s="66"/>
      <c r="E128" s="66"/>
      <c r="F128" s="69">
        <f t="shared" si="8"/>
        <v>0</v>
      </c>
      <c r="G128" s="66" t="s">
        <v>55</v>
      </c>
      <c r="H128" s="70">
        <f t="shared" si="9"/>
        <v>0</v>
      </c>
      <c r="AB128" s="6">
        <f t="shared" si="11"/>
        <v>0</v>
      </c>
      <c r="AC128" s="6">
        <f t="shared" si="10"/>
        <v>0</v>
      </c>
    </row>
    <row r="129" spans="1:29" ht="15.5">
      <c r="A129" s="66"/>
      <c r="B129" s="66"/>
      <c r="C129" s="66"/>
      <c r="D129" s="66"/>
      <c r="E129" s="66"/>
      <c r="F129" s="69">
        <f t="shared" si="8"/>
        <v>0</v>
      </c>
      <c r="G129" s="66" t="s">
        <v>8</v>
      </c>
      <c r="H129" s="70">
        <f t="shared" si="9"/>
        <v>0</v>
      </c>
      <c r="AB129" s="6">
        <f t="shared" si="11"/>
        <v>0</v>
      </c>
      <c r="AC129" s="6">
        <f t="shared" si="10"/>
        <v>0</v>
      </c>
    </row>
    <row r="130" spans="1:29" ht="15.5">
      <c r="A130" s="66"/>
      <c r="B130" s="66"/>
      <c r="C130" s="66"/>
      <c r="D130" s="66"/>
      <c r="E130" s="66"/>
      <c r="F130" s="69">
        <f t="shared" si="8"/>
        <v>0</v>
      </c>
      <c r="G130" s="66" t="s">
        <v>8</v>
      </c>
      <c r="H130" s="70">
        <f t="shared" si="9"/>
        <v>0</v>
      </c>
      <c r="AB130" s="6">
        <f t="shared" si="11"/>
        <v>0</v>
      </c>
      <c r="AC130" s="6">
        <f t="shared" si="10"/>
        <v>0</v>
      </c>
    </row>
    <row r="131" spans="1:29" ht="15.5">
      <c r="A131" s="66"/>
      <c r="B131" s="66"/>
      <c r="C131" s="66"/>
      <c r="D131" s="66"/>
      <c r="E131" s="66"/>
      <c r="F131" s="69">
        <f t="shared" si="8"/>
        <v>0</v>
      </c>
      <c r="G131" s="66" t="s">
        <v>8</v>
      </c>
      <c r="H131" s="70">
        <f t="shared" si="9"/>
        <v>0</v>
      </c>
      <c r="AB131" s="6">
        <f t="shared" si="11"/>
        <v>0</v>
      </c>
      <c r="AC131" s="6">
        <f t="shared" si="10"/>
        <v>0</v>
      </c>
    </row>
    <row r="132" spans="1:29" ht="15.5">
      <c r="A132" s="66"/>
      <c r="B132" s="66"/>
      <c r="C132" s="66"/>
      <c r="D132" s="66"/>
      <c r="E132" s="66"/>
      <c r="F132" s="69">
        <f t="shared" si="8"/>
        <v>0</v>
      </c>
      <c r="G132" s="66" t="s">
        <v>8</v>
      </c>
      <c r="H132" s="70">
        <f t="shared" si="9"/>
        <v>0</v>
      </c>
      <c r="AB132" s="6">
        <f t="shared" si="11"/>
        <v>0</v>
      </c>
      <c r="AC132" s="6">
        <f t="shared" si="10"/>
        <v>0</v>
      </c>
    </row>
    <row r="133" spans="1:29">
      <c r="F133" s="69">
        <f t="shared" si="8"/>
        <v>0</v>
      </c>
      <c r="H133" s="70">
        <f t="shared" si="9"/>
        <v>0</v>
      </c>
      <c r="AB133" s="6">
        <f t="shared" si="11"/>
        <v>0</v>
      </c>
      <c r="AC133" s="6">
        <f t="shared" si="10"/>
        <v>0</v>
      </c>
    </row>
    <row r="134" spans="1:29">
      <c r="F134" s="69">
        <f t="shared" si="8"/>
        <v>0</v>
      </c>
      <c r="H134" s="70">
        <f t="shared" si="9"/>
        <v>0</v>
      </c>
      <c r="AB134" s="6">
        <f t="shared" si="11"/>
        <v>0</v>
      </c>
      <c r="AC134" s="6">
        <f t="shared" si="10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3"/>
  <sheetViews>
    <sheetView tabSelected="1" zoomScale="70" zoomScaleNormal="70" workbookViewId="0">
      <pane ySplit="5" topLeftCell="A6" activePane="bottomLeft" state="frozen"/>
      <selection activeCell="B1" sqref="B1"/>
      <selection pane="bottomLeft" activeCell="G20" sqref="G20"/>
    </sheetView>
  </sheetViews>
  <sheetFormatPr defaultRowHeight="15.5"/>
  <cols>
    <col min="1" max="1" width="10.83203125" bestFit="1" customWidth="1"/>
    <col min="2" max="2" width="27.25" bestFit="1" customWidth="1"/>
    <col min="3" max="3" width="14.75" bestFit="1" customWidth="1"/>
    <col min="4" max="4" width="8.83203125" bestFit="1" customWidth="1"/>
    <col min="5" max="5" width="13.5" bestFit="1" customWidth="1"/>
    <col min="6" max="6" width="13.83203125" bestFit="1" customWidth="1"/>
    <col min="7" max="7" width="9.25" bestFit="1" customWidth="1"/>
    <col min="8" max="8" width="13.33203125" customWidth="1"/>
    <col min="9" max="9" width="17.5" bestFit="1" customWidth="1"/>
    <col min="10" max="10" width="13.5" bestFit="1" customWidth="1"/>
    <col min="11" max="11" width="11.83203125" bestFit="1" customWidth="1"/>
    <col min="12" max="12" width="7.33203125" bestFit="1" customWidth="1"/>
    <col min="13" max="13" width="13.5" bestFit="1" customWidth="1"/>
    <col min="14" max="14" width="9.58203125" bestFit="1" customWidth="1"/>
    <col min="15" max="16" width="11.83203125" bestFit="1" customWidth="1"/>
    <col min="17" max="17" width="9.58203125" bestFit="1" customWidth="1"/>
    <col min="18" max="18" width="13.5" bestFit="1" customWidth="1"/>
    <col min="28" max="28" width="11.83203125" bestFit="1" customWidth="1"/>
    <col min="29" max="29" width="14.25" bestFit="1" customWidth="1"/>
  </cols>
  <sheetData>
    <row r="1" spans="1:29" s="61" customFormat="1" ht="13">
      <c r="F1" s="67"/>
      <c r="G1" s="75"/>
    </row>
    <row r="2" spans="1:29" s="61" customFormat="1" ht="13">
      <c r="D2" s="76"/>
      <c r="E2" s="77"/>
      <c r="F2" s="80"/>
    </row>
    <row r="3" spans="1:29" s="78" customFormat="1" ht="52">
      <c r="A3" s="42" t="s">
        <v>15</v>
      </c>
      <c r="B3" s="43" t="s">
        <v>0</v>
      </c>
      <c r="C3" s="43" t="s">
        <v>1</v>
      </c>
      <c r="D3" s="44" t="s">
        <v>2</v>
      </c>
      <c r="E3" s="44" t="s">
        <v>3</v>
      </c>
      <c r="F3" s="45" t="s">
        <v>4</v>
      </c>
      <c r="G3" s="43" t="s">
        <v>16</v>
      </c>
      <c r="H3" s="43" t="s">
        <v>37</v>
      </c>
      <c r="I3" s="42" t="s">
        <v>17</v>
      </c>
      <c r="J3" s="42" t="s">
        <v>62</v>
      </c>
      <c r="K3" s="42" t="s">
        <v>18</v>
      </c>
      <c r="L3" s="45" t="s">
        <v>19</v>
      </c>
      <c r="M3" s="42" t="s">
        <v>20</v>
      </c>
      <c r="N3" s="42" t="s">
        <v>21</v>
      </c>
      <c r="O3" s="42" t="s">
        <v>22</v>
      </c>
      <c r="P3" s="42" t="s">
        <v>23</v>
      </c>
      <c r="Q3" s="43" t="s">
        <v>24</v>
      </c>
      <c r="R3" s="43" t="s">
        <v>25</v>
      </c>
      <c r="S3" s="43" t="s">
        <v>26</v>
      </c>
      <c r="T3" s="43" t="s">
        <v>27</v>
      </c>
      <c r="U3" s="43" t="s">
        <v>28</v>
      </c>
      <c r="V3" s="43" t="s">
        <v>29</v>
      </c>
      <c r="W3" s="43" t="s">
        <v>30</v>
      </c>
      <c r="X3" s="43" t="s">
        <v>31</v>
      </c>
      <c r="Y3" s="43" t="s">
        <v>32</v>
      </c>
      <c r="Z3" s="43" t="s">
        <v>33</v>
      </c>
      <c r="AA3" s="43" t="s">
        <v>34</v>
      </c>
      <c r="AB3" s="43" t="s">
        <v>35</v>
      </c>
      <c r="AC3" s="43" t="s">
        <v>36</v>
      </c>
    </row>
    <row r="4" spans="1:29" s="61" customFormat="1" ht="13">
      <c r="A4" s="47"/>
      <c r="B4" s="47"/>
      <c r="C4" s="48"/>
      <c r="D4" s="49">
        <f>SUM(D6:D161)</f>
        <v>91047.23</v>
      </c>
      <c r="E4" s="49">
        <f>SUM(E6:E161)</f>
        <v>9239227.3300000001</v>
      </c>
      <c r="F4" s="49">
        <f>SUM(F6:F161)</f>
        <v>9330274.5600000005</v>
      </c>
      <c r="G4" s="49">
        <f>SUM(G6:G161)</f>
        <v>0</v>
      </c>
      <c r="H4" s="49">
        <f>+F4</f>
        <v>9330274.5600000005</v>
      </c>
      <c r="I4" s="49">
        <f t="shared" ref="I4:AA4" si="0">SUM(I6:I161)</f>
        <v>60109.09</v>
      </c>
      <c r="J4" s="49">
        <f t="shared" si="0"/>
        <v>1466235.56</v>
      </c>
      <c r="K4" s="49">
        <f t="shared" si="0"/>
        <v>646934.57000000007</v>
      </c>
      <c r="L4" s="49">
        <f t="shared" si="0"/>
        <v>0</v>
      </c>
      <c r="M4" s="49">
        <f t="shared" si="0"/>
        <v>249900</v>
      </c>
      <c r="N4" s="49">
        <f t="shared" si="0"/>
        <v>0</v>
      </c>
      <c r="O4" s="49">
        <f t="shared" si="0"/>
        <v>563272.73</v>
      </c>
      <c r="P4" s="49">
        <f t="shared" si="0"/>
        <v>257636.38</v>
      </c>
      <c r="Q4" s="49">
        <f t="shared" si="0"/>
        <v>0</v>
      </c>
      <c r="R4" s="49">
        <f t="shared" si="0"/>
        <v>5995139</v>
      </c>
      <c r="S4" s="49">
        <f t="shared" si="0"/>
        <v>0</v>
      </c>
      <c r="T4" s="49">
        <f t="shared" si="0"/>
        <v>0</v>
      </c>
      <c r="U4" s="49">
        <f t="shared" si="0"/>
        <v>0</v>
      </c>
      <c r="V4" s="49">
        <f t="shared" si="0"/>
        <v>0</v>
      </c>
      <c r="W4" s="49">
        <f t="shared" si="0"/>
        <v>0</v>
      </c>
      <c r="X4" s="49">
        <f t="shared" si="0"/>
        <v>0</v>
      </c>
      <c r="Y4" s="49">
        <f t="shared" si="0"/>
        <v>0</v>
      </c>
      <c r="Z4" s="49">
        <f t="shared" si="0"/>
        <v>0</v>
      </c>
      <c r="AA4" s="49">
        <f t="shared" si="0"/>
        <v>0</v>
      </c>
      <c r="AB4" s="49">
        <f>SUM(I4:AA4)</f>
        <v>9239227.3300000001</v>
      </c>
      <c r="AC4" s="49">
        <f>SUM(AC6:AC161)</f>
        <v>0</v>
      </c>
    </row>
    <row r="5" spans="1:29" s="61" customFormat="1" ht="13">
      <c r="A5" s="51"/>
      <c r="B5" s="51"/>
      <c r="C5" s="52"/>
      <c r="D5" s="53"/>
      <c r="E5" s="53"/>
      <c r="F5" s="54">
        <v>1</v>
      </c>
      <c r="G5" s="55"/>
      <c r="H5" s="56"/>
      <c r="I5" s="55">
        <f t="shared" ref="I5:AC5" si="1">+I4/$H$4</f>
        <v>6.4423709734861218E-3</v>
      </c>
      <c r="J5" s="55">
        <f t="shared" si="1"/>
        <v>0.15714816863867295</v>
      </c>
      <c r="K5" s="55">
        <f t="shared" si="1"/>
        <v>6.9337141778601646E-2</v>
      </c>
      <c r="L5" s="55">
        <f t="shared" si="1"/>
        <v>0</v>
      </c>
      <c r="M5" s="55">
        <f t="shared" si="1"/>
        <v>2.6783777732688713E-2</v>
      </c>
      <c r="N5" s="55">
        <f t="shared" si="1"/>
        <v>0</v>
      </c>
      <c r="O5" s="55">
        <f t="shared" si="1"/>
        <v>6.0370434586653789E-2</v>
      </c>
      <c r="P5" s="55">
        <f t="shared" si="1"/>
        <v>2.7612947330030124E-2</v>
      </c>
      <c r="Q5" s="55">
        <f t="shared" si="1"/>
        <v>0</v>
      </c>
      <c r="R5" s="55">
        <f t="shared" si="1"/>
        <v>0.64254690057052299</v>
      </c>
      <c r="S5" s="55">
        <f t="shared" si="1"/>
        <v>0</v>
      </c>
      <c r="T5" s="55">
        <f t="shared" si="1"/>
        <v>0</v>
      </c>
      <c r="U5" s="55">
        <f t="shared" si="1"/>
        <v>0</v>
      </c>
      <c r="V5" s="55">
        <f t="shared" si="1"/>
        <v>0</v>
      </c>
      <c r="W5" s="55">
        <f t="shared" si="1"/>
        <v>0</v>
      </c>
      <c r="X5" s="55">
        <f t="shared" si="1"/>
        <v>0</v>
      </c>
      <c r="Y5" s="55">
        <f t="shared" si="1"/>
        <v>0</v>
      </c>
      <c r="Z5" s="55">
        <f t="shared" si="1"/>
        <v>0</v>
      </c>
      <c r="AA5" s="55">
        <f t="shared" si="1"/>
        <v>0</v>
      </c>
      <c r="AB5" s="55">
        <f t="shared" si="1"/>
        <v>0.99024174161065626</v>
      </c>
      <c r="AC5" s="177">
        <f t="shared" si="1"/>
        <v>0</v>
      </c>
    </row>
    <row r="6" spans="1:29" s="39" customFormat="1" ht="13">
      <c r="A6" s="87" t="s">
        <v>1195</v>
      </c>
      <c r="B6" s="87" t="s">
        <v>1196</v>
      </c>
      <c r="C6" s="87" t="s">
        <v>1197</v>
      </c>
      <c r="D6" s="87">
        <v>9000</v>
      </c>
      <c r="E6" s="179">
        <f t="shared" ref="E6:E28" si="2">+F6-D6</f>
        <v>90000</v>
      </c>
      <c r="F6" s="89">
        <v>99000</v>
      </c>
      <c r="G6" s="87" t="s">
        <v>1168</v>
      </c>
      <c r="H6" s="87" t="s">
        <v>1169</v>
      </c>
      <c r="I6" s="87"/>
      <c r="J6" s="87"/>
      <c r="K6" s="87"/>
      <c r="L6" s="87"/>
      <c r="M6" s="87"/>
      <c r="N6" s="87"/>
      <c r="O6" s="179">
        <f>+E6</f>
        <v>90000</v>
      </c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>
        <f>SUM(I6:AA6)</f>
        <v>90000</v>
      </c>
      <c r="AC6" s="179">
        <f>+AB6-E6</f>
        <v>0</v>
      </c>
    </row>
    <row r="7" spans="1:29" s="39" customFormat="1" ht="13">
      <c r="A7" s="87" t="s">
        <v>1195</v>
      </c>
      <c r="B7" s="87" t="s">
        <v>68</v>
      </c>
      <c r="C7" s="87" t="s">
        <v>69</v>
      </c>
      <c r="D7" s="87">
        <v>0</v>
      </c>
      <c r="E7" s="179">
        <f t="shared" si="2"/>
        <v>2000</v>
      </c>
      <c r="F7" s="89">
        <v>2000</v>
      </c>
      <c r="G7" s="87" t="s">
        <v>1168</v>
      </c>
      <c r="H7" s="87"/>
      <c r="I7" s="179">
        <f>+F7</f>
        <v>2000</v>
      </c>
      <c r="J7" s="87"/>
      <c r="K7" s="87"/>
      <c r="L7" s="87"/>
      <c r="M7" s="87"/>
      <c r="N7" s="87"/>
      <c r="O7" s="87"/>
      <c r="P7" s="179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>
        <f t="shared" ref="AB7:AB33" si="3">SUM(I7:AA7)</f>
        <v>2000</v>
      </c>
      <c r="AC7" s="179">
        <f t="shared" ref="AC7:AC33" si="4">+AB7-E7</f>
        <v>0</v>
      </c>
    </row>
    <row r="8" spans="1:29" s="39" customFormat="1" ht="13">
      <c r="A8" s="87" t="s">
        <v>1194</v>
      </c>
      <c r="B8" s="87" t="s">
        <v>56</v>
      </c>
      <c r="C8" s="87" t="s">
        <v>57</v>
      </c>
      <c r="D8" s="87">
        <v>0</v>
      </c>
      <c r="E8" s="179">
        <f t="shared" si="2"/>
        <v>100</v>
      </c>
      <c r="F8" s="89">
        <v>100</v>
      </c>
      <c r="G8" s="87" t="s">
        <v>1168</v>
      </c>
      <c r="H8" s="87"/>
      <c r="I8" s="179">
        <f>+F8</f>
        <v>100</v>
      </c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>
        <f t="shared" si="3"/>
        <v>100</v>
      </c>
      <c r="AC8" s="179">
        <f t="shared" si="4"/>
        <v>0</v>
      </c>
    </row>
    <row r="9" spans="1:29" s="39" customFormat="1" ht="13">
      <c r="A9" s="87" t="s">
        <v>1187</v>
      </c>
      <c r="B9" s="87" t="s">
        <v>1188</v>
      </c>
      <c r="C9" s="87" t="s">
        <v>1189</v>
      </c>
      <c r="D9" s="87">
        <v>0</v>
      </c>
      <c r="E9" s="179">
        <f t="shared" si="2"/>
        <v>2506839</v>
      </c>
      <c r="F9" s="89">
        <v>2506839</v>
      </c>
      <c r="G9" s="87" t="s">
        <v>1172</v>
      </c>
      <c r="H9" s="87"/>
      <c r="I9" s="87"/>
      <c r="J9" s="87"/>
      <c r="K9" s="87"/>
      <c r="L9" s="87"/>
      <c r="M9" s="87"/>
      <c r="N9" s="87"/>
      <c r="O9" s="87"/>
      <c r="P9" s="87"/>
      <c r="Q9" s="87"/>
      <c r="R9" s="179">
        <f>+F9</f>
        <v>2506839</v>
      </c>
      <c r="S9" s="87"/>
      <c r="T9" s="87"/>
      <c r="U9" s="87"/>
      <c r="V9" s="87"/>
      <c r="W9" s="87"/>
      <c r="X9" s="87"/>
      <c r="Y9" s="87"/>
      <c r="Z9" s="87"/>
      <c r="AA9" s="87"/>
      <c r="AB9" s="87">
        <f t="shared" si="3"/>
        <v>2506839</v>
      </c>
      <c r="AC9" s="179">
        <f t="shared" si="4"/>
        <v>0</v>
      </c>
    </row>
    <row r="10" spans="1:29" s="39" customFormat="1" ht="13">
      <c r="A10" s="87" t="s">
        <v>1187</v>
      </c>
      <c r="B10" s="87" t="s">
        <v>1190</v>
      </c>
      <c r="C10" s="87" t="s">
        <v>1191</v>
      </c>
      <c r="D10" s="87">
        <v>0</v>
      </c>
      <c r="E10" s="179">
        <f t="shared" si="2"/>
        <v>3200000</v>
      </c>
      <c r="F10" s="89">
        <v>3200000</v>
      </c>
      <c r="G10" s="87" t="s">
        <v>1172</v>
      </c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179">
        <f>+E10</f>
        <v>3200000</v>
      </c>
      <c r="S10" s="87"/>
      <c r="T10" s="87"/>
      <c r="U10" s="87"/>
      <c r="V10" s="87"/>
      <c r="W10" s="87"/>
      <c r="X10" s="87"/>
      <c r="Y10" s="87"/>
      <c r="Z10" s="87"/>
      <c r="AA10" s="87"/>
      <c r="AB10" s="87">
        <f t="shared" si="3"/>
        <v>3200000</v>
      </c>
      <c r="AC10" s="179">
        <f t="shared" si="4"/>
        <v>0</v>
      </c>
    </row>
    <row r="11" spans="1:29" s="39" customFormat="1" ht="13">
      <c r="A11" s="87" t="s">
        <v>1187</v>
      </c>
      <c r="B11" s="87" t="s">
        <v>1192</v>
      </c>
      <c r="C11" s="87" t="s">
        <v>1193</v>
      </c>
      <c r="D11" s="87">
        <v>15000</v>
      </c>
      <c r="E11" s="179">
        <f t="shared" si="2"/>
        <v>150000</v>
      </c>
      <c r="F11" s="89">
        <v>165000</v>
      </c>
      <c r="G11" s="87" t="s">
        <v>1172</v>
      </c>
      <c r="H11" s="87" t="s">
        <v>1169</v>
      </c>
      <c r="I11" s="87"/>
      <c r="J11" s="87"/>
      <c r="K11" s="87"/>
      <c r="L11" s="87"/>
      <c r="M11" s="87"/>
      <c r="N11" s="87"/>
      <c r="O11" s="179">
        <f>+E11</f>
        <v>150000</v>
      </c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>
        <f t="shared" si="3"/>
        <v>150000</v>
      </c>
      <c r="AC11" s="179">
        <f t="shared" si="4"/>
        <v>0</v>
      </c>
    </row>
    <row r="12" spans="1:29" s="39" customFormat="1" ht="13">
      <c r="A12" s="87" t="s">
        <v>1185</v>
      </c>
      <c r="B12" s="87" t="s">
        <v>156</v>
      </c>
      <c r="C12" s="87" t="s">
        <v>157</v>
      </c>
      <c r="D12" s="87">
        <v>12127.27</v>
      </c>
      <c r="E12" s="179">
        <f t="shared" si="2"/>
        <v>121272.73</v>
      </c>
      <c r="F12" s="89">
        <v>133400</v>
      </c>
      <c r="G12" s="87" t="s">
        <v>1168</v>
      </c>
      <c r="H12" s="87" t="s">
        <v>1186</v>
      </c>
      <c r="I12" s="87"/>
      <c r="J12" s="87"/>
      <c r="K12" s="87"/>
      <c r="L12" s="87"/>
      <c r="M12" s="87"/>
      <c r="N12" s="87"/>
      <c r="O12" s="87"/>
      <c r="P12" s="179">
        <f>+E12</f>
        <v>121272.73</v>
      </c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>
        <f t="shared" si="3"/>
        <v>121272.73</v>
      </c>
      <c r="AC12" s="179">
        <f>+AB12-E12</f>
        <v>0</v>
      </c>
    </row>
    <row r="13" spans="1:29" s="39" customFormat="1" ht="13">
      <c r="A13" s="87" t="s">
        <v>1185</v>
      </c>
      <c r="B13" s="87" t="s">
        <v>94</v>
      </c>
      <c r="C13" s="87" t="s">
        <v>95</v>
      </c>
      <c r="D13" s="87">
        <v>4545.45</v>
      </c>
      <c r="E13" s="179">
        <f t="shared" si="2"/>
        <v>45454.55</v>
      </c>
      <c r="F13" s="89">
        <v>50000</v>
      </c>
      <c r="G13" s="87" t="s">
        <v>1168</v>
      </c>
      <c r="H13" s="87" t="s">
        <v>1171</v>
      </c>
      <c r="I13" s="87"/>
      <c r="J13" s="87"/>
      <c r="K13" s="87"/>
      <c r="L13" s="87"/>
      <c r="M13" s="87"/>
      <c r="N13" s="87"/>
      <c r="O13" s="87"/>
      <c r="P13" s="179">
        <f>+E13</f>
        <v>45454.55</v>
      </c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>
        <f t="shared" si="3"/>
        <v>45454.55</v>
      </c>
      <c r="AC13" s="179">
        <f t="shared" si="4"/>
        <v>0</v>
      </c>
    </row>
    <row r="14" spans="1:29" s="39" customFormat="1" ht="13">
      <c r="A14" s="87" t="s">
        <v>1182</v>
      </c>
      <c r="B14" s="87" t="s">
        <v>1183</v>
      </c>
      <c r="C14" s="87" t="s">
        <v>1184</v>
      </c>
      <c r="D14" s="87">
        <v>0</v>
      </c>
      <c r="E14" s="179">
        <f t="shared" si="2"/>
        <v>50000</v>
      </c>
      <c r="F14" s="89">
        <v>50000</v>
      </c>
      <c r="G14" s="87" t="s">
        <v>1172</v>
      </c>
      <c r="H14" s="87" t="s">
        <v>1171</v>
      </c>
      <c r="I14" s="179">
        <f>+F14</f>
        <v>50000</v>
      </c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>
        <f t="shared" si="3"/>
        <v>50000</v>
      </c>
      <c r="AC14" s="179">
        <f t="shared" si="4"/>
        <v>0</v>
      </c>
    </row>
    <row r="15" spans="1:29" s="39" customFormat="1" ht="13">
      <c r="A15" s="87" t="s">
        <v>1182</v>
      </c>
      <c r="B15" s="87" t="s">
        <v>59</v>
      </c>
      <c r="C15" s="87" t="s">
        <v>60</v>
      </c>
      <c r="D15" s="87">
        <v>0</v>
      </c>
      <c r="E15" s="179">
        <f t="shared" si="2"/>
        <v>1466235.56</v>
      </c>
      <c r="F15" s="89">
        <v>1466235.56</v>
      </c>
      <c r="G15" s="87" t="s">
        <v>1168</v>
      </c>
      <c r="H15" s="87"/>
      <c r="I15" s="87"/>
      <c r="J15" s="179">
        <f>+F15</f>
        <v>1466235.56</v>
      </c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>
        <f t="shared" si="3"/>
        <v>1466235.56</v>
      </c>
      <c r="AC15" s="179">
        <f t="shared" si="4"/>
        <v>0</v>
      </c>
    </row>
    <row r="16" spans="1:29" s="39" customFormat="1" ht="13">
      <c r="A16" s="87" t="s">
        <v>1179</v>
      </c>
      <c r="B16" s="87" t="s">
        <v>1180</v>
      </c>
      <c r="C16" s="87" t="s">
        <v>1181</v>
      </c>
      <c r="D16" s="87">
        <v>13690.91</v>
      </c>
      <c r="E16" s="179">
        <f t="shared" si="2"/>
        <v>136909.09</v>
      </c>
      <c r="F16" s="89">
        <v>150600</v>
      </c>
      <c r="G16" s="87" t="s">
        <v>1168</v>
      </c>
      <c r="H16" s="87"/>
      <c r="I16" s="87"/>
      <c r="J16" s="87"/>
      <c r="K16" s="87"/>
      <c r="L16" s="87"/>
      <c r="M16" s="87"/>
      <c r="N16" s="87"/>
      <c r="O16" s="179">
        <f>+E16</f>
        <v>136909.09</v>
      </c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>
        <f t="shared" si="3"/>
        <v>136909.09</v>
      </c>
      <c r="AC16" s="179">
        <f t="shared" si="4"/>
        <v>0</v>
      </c>
    </row>
    <row r="17" spans="1:29" s="39" customFormat="1" ht="13">
      <c r="A17" s="87" t="s">
        <v>1179</v>
      </c>
      <c r="B17" s="87" t="s">
        <v>103</v>
      </c>
      <c r="C17" s="87" t="s">
        <v>104</v>
      </c>
      <c r="D17" s="87">
        <v>5501.79</v>
      </c>
      <c r="E17" s="179">
        <f t="shared" si="2"/>
        <v>55098.21</v>
      </c>
      <c r="F17" s="180">
        <v>60600</v>
      </c>
      <c r="G17" s="87" t="s">
        <v>1168</v>
      </c>
      <c r="H17" s="87"/>
      <c r="I17" s="87"/>
      <c r="J17" s="87"/>
      <c r="K17" s="179">
        <f>+E17</f>
        <v>55098.21</v>
      </c>
      <c r="L17" s="87"/>
      <c r="M17" s="87"/>
      <c r="N17" s="179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>
        <f t="shared" si="3"/>
        <v>55098.21</v>
      </c>
      <c r="AC17" s="179">
        <f t="shared" si="4"/>
        <v>0</v>
      </c>
    </row>
    <row r="18" spans="1:29" s="39" customFormat="1" ht="13">
      <c r="A18" s="87" t="s">
        <v>1177</v>
      </c>
      <c r="B18" s="87" t="s">
        <v>103</v>
      </c>
      <c r="C18" s="87" t="s">
        <v>104</v>
      </c>
      <c r="D18" s="87">
        <v>790.91</v>
      </c>
      <c r="E18" s="179">
        <f t="shared" si="2"/>
        <v>7909.09</v>
      </c>
      <c r="F18" s="89">
        <v>8700</v>
      </c>
      <c r="G18" s="87" t="s">
        <v>1168</v>
      </c>
      <c r="H18" s="87" t="s">
        <v>1178</v>
      </c>
      <c r="I18" s="179">
        <f>+E18</f>
        <v>7909.09</v>
      </c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>
        <f t="shared" si="3"/>
        <v>7909.09</v>
      </c>
      <c r="AC18" s="179">
        <f t="shared" si="4"/>
        <v>0</v>
      </c>
    </row>
    <row r="19" spans="1:29" s="39" customFormat="1" ht="13">
      <c r="A19" s="87" t="s">
        <v>1177</v>
      </c>
      <c r="B19" s="87" t="s">
        <v>103</v>
      </c>
      <c r="C19" s="87" t="s">
        <v>104</v>
      </c>
      <c r="D19" s="87">
        <v>2663.64</v>
      </c>
      <c r="E19" s="179">
        <f t="shared" si="2"/>
        <v>26636.36</v>
      </c>
      <c r="F19" s="180">
        <v>29300</v>
      </c>
      <c r="G19" s="87" t="s">
        <v>1168</v>
      </c>
      <c r="H19" s="87"/>
      <c r="I19" s="87"/>
      <c r="J19" s="87"/>
      <c r="K19" s="179">
        <f>+E19</f>
        <v>26636.36</v>
      </c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>
        <f t="shared" si="3"/>
        <v>26636.36</v>
      </c>
      <c r="AC19" s="179">
        <f t="shared" si="4"/>
        <v>0</v>
      </c>
    </row>
    <row r="20" spans="1:29" s="39" customFormat="1" ht="13">
      <c r="A20" s="87" t="s">
        <v>1177</v>
      </c>
      <c r="B20" s="87" t="s">
        <v>243</v>
      </c>
      <c r="C20" s="87" t="s">
        <v>244</v>
      </c>
      <c r="D20" s="87">
        <v>15000</v>
      </c>
      <c r="E20" s="179">
        <f t="shared" si="2"/>
        <v>150000</v>
      </c>
      <c r="F20" s="89">
        <v>165000</v>
      </c>
      <c r="G20" s="87" t="s">
        <v>1172</v>
      </c>
      <c r="H20" s="87" t="s">
        <v>1169</v>
      </c>
      <c r="I20" s="87"/>
      <c r="J20" s="87"/>
      <c r="K20" s="87"/>
      <c r="L20" s="87"/>
      <c r="M20" s="87"/>
      <c r="N20" s="87"/>
      <c r="O20" s="179">
        <f>+E20</f>
        <v>150000</v>
      </c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>
        <f t="shared" si="3"/>
        <v>150000</v>
      </c>
      <c r="AC20" s="179">
        <f t="shared" si="4"/>
        <v>0</v>
      </c>
    </row>
    <row r="21" spans="1:29" s="39" customFormat="1" ht="13">
      <c r="A21" s="87" t="s">
        <v>1176</v>
      </c>
      <c r="B21" s="87" t="s">
        <v>87</v>
      </c>
      <c r="C21" s="87" t="s">
        <v>88</v>
      </c>
      <c r="D21" s="87">
        <v>4545.45</v>
      </c>
      <c r="E21" s="179">
        <f t="shared" si="2"/>
        <v>45454.55</v>
      </c>
      <c r="F21" s="89">
        <v>50000</v>
      </c>
      <c r="G21" s="87" t="s">
        <v>1168</v>
      </c>
      <c r="H21" s="87" t="s">
        <v>1169</v>
      </c>
      <c r="I21" s="87"/>
      <c r="J21" s="87"/>
      <c r="K21" s="87"/>
      <c r="L21" s="87"/>
      <c r="M21" s="87"/>
      <c r="N21" s="87"/>
      <c r="O21" s="87"/>
      <c r="P21" s="179">
        <f t="shared" ref="P21:P22" si="5">+E21</f>
        <v>45454.55</v>
      </c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>
        <f t="shared" si="3"/>
        <v>45454.55</v>
      </c>
      <c r="AC21" s="179">
        <f t="shared" si="4"/>
        <v>0</v>
      </c>
    </row>
    <row r="22" spans="1:29" s="39" customFormat="1" ht="13">
      <c r="A22" s="87" t="s">
        <v>1176</v>
      </c>
      <c r="B22" s="87" t="s">
        <v>87</v>
      </c>
      <c r="C22" s="87" t="s">
        <v>88</v>
      </c>
      <c r="D22" s="87">
        <v>4545.45</v>
      </c>
      <c r="E22" s="179">
        <f t="shared" si="2"/>
        <v>45454.55</v>
      </c>
      <c r="F22" s="89">
        <v>50000</v>
      </c>
      <c r="G22" s="87" t="s">
        <v>1168</v>
      </c>
      <c r="H22" s="87"/>
      <c r="I22" s="87"/>
      <c r="J22" s="87"/>
      <c r="K22" s="87"/>
      <c r="L22" s="87"/>
      <c r="M22" s="87"/>
      <c r="N22" s="87"/>
      <c r="O22" s="87"/>
      <c r="P22" s="179">
        <f t="shared" si="5"/>
        <v>45454.55</v>
      </c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>
        <f t="shared" si="3"/>
        <v>45454.55</v>
      </c>
      <c r="AC22" s="179">
        <f t="shared" si="4"/>
        <v>0</v>
      </c>
    </row>
    <row r="23" spans="1:29" s="39" customFormat="1" ht="13">
      <c r="A23" s="87" t="s">
        <v>1173</v>
      </c>
      <c r="B23" s="181" t="s">
        <v>1174</v>
      </c>
      <c r="C23" s="181" t="s">
        <v>1175</v>
      </c>
      <c r="D23" s="181">
        <v>0</v>
      </c>
      <c r="E23" s="179">
        <f t="shared" si="2"/>
        <v>288300</v>
      </c>
      <c r="F23" s="182">
        <v>288300</v>
      </c>
      <c r="G23" s="87" t="s">
        <v>1172</v>
      </c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179">
        <f>+E23</f>
        <v>288300</v>
      </c>
      <c r="S23" s="87"/>
      <c r="T23" s="87"/>
      <c r="U23" s="87"/>
      <c r="V23" s="87"/>
      <c r="W23" s="87"/>
      <c r="X23" s="87"/>
      <c r="Y23" s="87"/>
      <c r="Z23" s="87"/>
      <c r="AA23" s="87"/>
      <c r="AB23" s="87">
        <f t="shared" si="3"/>
        <v>288300</v>
      </c>
      <c r="AC23" s="179">
        <f t="shared" si="4"/>
        <v>0</v>
      </c>
    </row>
    <row r="24" spans="1:29" s="39" customFormat="1" ht="13">
      <c r="A24" s="87" t="s">
        <v>1170</v>
      </c>
      <c r="B24" s="87" t="s">
        <v>156</v>
      </c>
      <c r="C24" s="87" t="s">
        <v>157</v>
      </c>
      <c r="D24" s="87">
        <v>3636.36</v>
      </c>
      <c r="E24" s="179">
        <f t="shared" si="2"/>
        <v>36363.64</v>
      </c>
      <c r="F24" s="89">
        <v>40000</v>
      </c>
      <c r="G24" s="87" t="s">
        <v>1168</v>
      </c>
      <c r="H24" s="87" t="s">
        <v>1171</v>
      </c>
      <c r="I24" s="87"/>
      <c r="J24" s="87"/>
      <c r="K24" s="87"/>
      <c r="L24" s="87"/>
      <c r="M24" s="87"/>
      <c r="N24" s="87"/>
      <c r="O24" s="179">
        <f>+E24</f>
        <v>36363.64</v>
      </c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>
        <f t="shared" si="3"/>
        <v>36363.64</v>
      </c>
      <c r="AC24" s="179">
        <f t="shared" si="4"/>
        <v>0</v>
      </c>
    </row>
    <row r="25" spans="1:29" s="39" customFormat="1" ht="13">
      <c r="A25" s="87" t="s">
        <v>1170</v>
      </c>
      <c r="B25" s="87" t="s">
        <v>465</v>
      </c>
      <c r="C25" s="87" t="s">
        <v>466</v>
      </c>
      <c r="D25" s="87">
        <v>0</v>
      </c>
      <c r="E25" s="179">
        <f t="shared" si="2"/>
        <v>565200</v>
      </c>
      <c r="F25" s="89">
        <v>565200</v>
      </c>
      <c r="G25" s="87" t="s">
        <v>1172</v>
      </c>
      <c r="H25" s="87" t="s">
        <v>1171</v>
      </c>
      <c r="I25" s="87"/>
      <c r="J25" s="87"/>
      <c r="K25" s="179">
        <f>+E25</f>
        <v>565200</v>
      </c>
      <c r="L25" s="87"/>
      <c r="M25" s="87"/>
      <c r="N25" s="87"/>
      <c r="O25" s="179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>
        <f t="shared" si="3"/>
        <v>565200</v>
      </c>
      <c r="AC25" s="179">
        <f t="shared" si="4"/>
        <v>0</v>
      </c>
    </row>
    <row r="26" spans="1:29" s="39" customFormat="1" ht="13">
      <c r="A26" s="87" t="s">
        <v>1170</v>
      </c>
      <c r="B26" s="87" t="s">
        <v>82</v>
      </c>
      <c r="C26" s="87" t="s">
        <v>83</v>
      </c>
      <c r="D26" s="87">
        <v>0</v>
      </c>
      <c r="E26" s="179">
        <f t="shared" si="2"/>
        <v>150900</v>
      </c>
      <c r="F26" s="89">
        <v>150900</v>
      </c>
      <c r="G26" s="87" t="s">
        <v>1172</v>
      </c>
      <c r="H26" s="87" t="s">
        <v>1171</v>
      </c>
      <c r="I26" s="87"/>
      <c r="J26" s="87"/>
      <c r="K26" s="179"/>
      <c r="L26" s="87"/>
      <c r="M26" s="179">
        <f>+E26</f>
        <v>150900</v>
      </c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>
        <f t="shared" si="3"/>
        <v>150900</v>
      </c>
      <c r="AC26" s="179">
        <f t="shared" si="4"/>
        <v>0</v>
      </c>
    </row>
    <row r="27" spans="1:29" s="39" customFormat="1" ht="13">
      <c r="A27" s="87" t="s">
        <v>1170</v>
      </c>
      <c r="B27" s="87" t="s">
        <v>56</v>
      </c>
      <c r="C27" s="87" t="s">
        <v>57</v>
      </c>
      <c r="D27" s="87">
        <v>0</v>
      </c>
      <c r="E27" s="179">
        <f t="shared" si="2"/>
        <v>100</v>
      </c>
      <c r="F27" s="89">
        <v>100</v>
      </c>
      <c r="G27" s="87" t="s">
        <v>1168</v>
      </c>
      <c r="H27" s="87"/>
      <c r="I27" s="179">
        <f>+E27</f>
        <v>100</v>
      </c>
      <c r="J27" s="87"/>
      <c r="K27" s="87"/>
      <c r="L27" s="87"/>
      <c r="M27" s="87"/>
      <c r="N27" s="87"/>
      <c r="O27" s="179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>
        <f t="shared" si="3"/>
        <v>100</v>
      </c>
      <c r="AC27" s="179">
        <f t="shared" si="4"/>
        <v>0</v>
      </c>
    </row>
    <row r="28" spans="1:29">
      <c r="A28" s="84" t="s">
        <v>1167</v>
      </c>
      <c r="B28" s="84" t="s">
        <v>116</v>
      </c>
      <c r="C28" s="84" t="s">
        <v>117</v>
      </c>
      <c r="D28" s="84">
        <v>0</v>
      </c>
      <c r="E28" s="178">
        <f t="shared" si="2"/>
        <v>99000</v>
      </c>
      <c r="F28" s="86">
        <v>99000</v>
      </c>
      <c r="G28" s="84" t="s">
        <v>1168</v>
      </c>
      <c r="H28" s="84" t="s">
        <v>1169</v>
      </c>
      <c r="I28" s="84"/>
      <c r="J28" s="84"/>
      <c r="K28" s="84"/>
      <c r="L28" s="84"/>
      <c r="M28" s="178">
        <f>+E28</f>
        <v>99000</v>
      </c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>
        <f t="shared" si="3"/>
        <v>99000</v>
      </c>
      <c r="AC28" s="178">
        <f t="shared" si="4"/>
        <v>0</v>
      </c>
    </row>
    <row r="29" spans="1:29">
      <c r="AB29">
        <f t="shared" si="3"/>
        <v>0</v>
      </c>
      <c r="AC29" s="176">
        <f t="shared" si="4"/>
        <v>0</v>
      </c>
    </row>
    <row r="30" spans="1:29">
      <c r="AB30">
        <f t="shared" si="3"/>
        <v>0</v>
      </c>
      <c r="AC30" s="176">
        <f t="shared" si="4"/>
        <v>0</v>
      </c>
    </row>
    <row r="31" spans="1:29">
      <c r="AB31">
        <f t="shared" si="3"/>
        <v>0</v>
      </c>
      <c r="AC31" s="176">
        <f t="shared" si="4"/>
        <v>0</v>
      </c>
    </row>
    <row r="32" spans="1:29">
      <c r="AB32">
        <f t="shared" si="3"/>
        <v>0</v>
      </c>
      <c r="AC32" s="176">
        <f t="shared" si="4"/>
        <v>0</v>
      </c>
    </row>
    <row r="33" spans="28:29">
      <c r="AB33">
        <f t="shared" si="3"/>
        <v>0</v>
      </c>
      <c r="AC33" s="176">
        <f t="shared" si="4"/>
        <v>0</v>
      </c>
    </row>
  </sheetData>
  <sortState ref="A6:K28">
    <sortCondition ref="A6:A28"/>
  </sortState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2"/>
  <sheetViews>
    <sheetView zoomScale="70" zoomScaleNormal="70" workbookViewId="0">
      <selection activeCell="E1" sqref="E1"/>
    </sheetView>
  </sheetViews>
  <sheetFormatPr defaultRowHeight="15.5"/>
  <cols>
    <col min="3" max="3" width="13.58203125" bestFit="1" customWidth="1"/>
    <col min="4" max="4" width="34.83203125" bestFit="1" customWidth="1"/>
    <col min="5" max="5" width="20.33203125" bestFit="1" customWidth="1"/>
    <col min="6" max="6" width="16.5" bestFit="1" customWidth="1"/>
    <col min="7" max="7" width="6" customWidth="1"/>
    <col min="9" max="9" width="9.75" style="104" bestFit="1" customWidth="1"/>
    <col min="10" max="10" width="6.83203125" bestFit="1" customWidth="1"/>
    <col min="12" max="12" width="6.83203125" bestFit="1" customWidth="1"/>
    <col min="14" max="14" width="6.83203125" bestFit="1" customWidth="1"/>
    <col min="15" max="20" width="7.83203125" bestFit="1" customWidth="1"/>
    <col min="22" max="22" width="7.83203125" bestFit="1" customWidth="1"/>
    <col min="23" max="23" width="5.83203125" bestFit="1" customWidth="1"/>
    <col min="25" max="25" width="5.83203125" bestFit="1" customWidth="1"/>
    <col min="26" max="27" width="6.83203125" bestFit="1" customWidth="1"/>
    <col min="28" max="28" width="7.83203125" bestFit="1" customWidth="1"/>
  </cols>
  <sheetData>
    <row r="1" spans="1:30" ht="52">
      <c r="B1" s="42" t="s">
        <v>15</v>
      </c>
      <c r="C1" s="43" t="s">
        <v>0</v>
      </c>
      <c r="D1" s="43" t="s">
        <v>1</v>
      </c>
      <c r="E1" s="44" t="s">
        <v>2</v>
      </c>
      <c r="F1" s="44" t="s">
        <v>3</v>
      </c>
      <c r="G1" s="45" t="s">
        <v>4</v>
      </c>
      <c r="H1" s="43" t="s">
        <v>16</v>
      </c>
      <c r="I1" s="45" t="s">
        <v>37</v>
      </c>
      <c r="J1" s="42" t="s">
        <v>17</v>
      </c>
      <c r="K1" s="42" t="s">
        <v>62</v>
      </c>
      <c r="L1" s="42" t="s">
        <v>18</v>
      </c>
      <c r="M1" s="45" t="s">
        <v>19</v>
      </c>
      <c r="N1" s="42" t="s">
        <v>20</v>
      </c>
      <c r="O1" s="42" t="s">
        <v>21</v>
      </c>
      <c r="P1" s="42" t="s">
        <v>22</v>
      </c>
      <c r="Q1" s="42" t="s">
        <v>23</v>
      </c>
      <c r="R1" s="43" t="s">
        <v>24</v>
      </c>
      <c r="S1" s="43" t="s">
        <v>25</v>
      </c>
      <c r="T1" s="43" t="s">
        <v>26</v>
      </c>
      <c r="U1" s="43" t="s">
        <v>27</v>
      </c>
      <c r="V1" s="43" t="s">
        <v>28</v>
      </c>
      <c r="W1" s="43" t="s">
        <v>29</v>
      </c>
      <c r="X1" s="43" t="s">
        <v>30</v>
      </c>
      <c r="Y1" s="43" t="s">
        <v>31</v>
      </c>
      <c r="Z1" s="43" t="s">
        <v>32</v>
      </c>
      <c r="AA1" s="43" t="s">
        <v>33</v>
      </c>
      <c r="AB1" s="43" t="s">
        <v>34</v>
      </c>
      <c r="AC1" s="43" t="s">
        <v>35</v>
      </c>
      <c r="AD1" s="43" t="s">
        <v>36</v>
      </c>
    </row>
    <row r="2" spans="1:30" ht="62.25" customHeight="1">
      <c r="A2" t="s">
        <v>743</v>
      </c>
      <c r="B2" s="61" t="s">
        <v>240</v>
      </c>
      <c r="C2" s="106" t="s">
        <v>53</v>
      </c>
      <c r="D2" s="108" t="s">
        <v>54</v>
      </c>
      <c r="E2" s="108">
        <v>0</v>
      </c>
      <c r="F2" s="108">
        <v>1000</v>
      </c>
      <c r="G2" s="108">
        <v>1000</v>
      </c>
      <c r="H2" s="108" t="s">
        <v>55</v>
      </c>
      <c r="I2" s="111">
        <v>1000</v>
      </c>
      <c r="J2" s="65">
        <v>1000</v>
      </c>
      <c r="K2" s="64"/>
      <c r="L2" s="65"/>
      <c r="M2" s="64"/>
      <c r="N2" s="64"/>
      <c r="O2" s="64"/>
      <c r="P2" s="65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116"/>
      <c r="AC2" s="117">
        <v>1000</v>
      </c>
      <c r="AD2" s="117">
        <v>0</v>
      </c>
    </row>
    <row r="3" spans="1:30" ht="20.149999999999999" customHeight="1">
      <c r="A3" t="s">
        <v>743</v>
      </c>
      <c r="B3" s="61" t="s">
        <v>240</v>
      </c>
      <c r="C3" s="108" t="s">
        <v>253</v>
      </c>
      <c r="D3" s="108" t="s">
        <v>254</v>
      </c>
      <c r="E3" s="108">
        <v>0</v>
      </c>
      <c r="F3" s="108">
        <v>1000</v>
      </c>
      <c r="G3" s="108">
        <v>1000</v>
      </c>
      <c r="H3" s="108" t="s">
        <v>8</v>
      </c>
      <c r="I3" s="111">
        <v>1000</v>
      </c>
      <c r="J3" s="65">
        <v>1000</v>
      </c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1"/>
      <c r="AC3" s="117">
        <v>1000</v>
      </c>
      <c r="AD3" s="117">
        <v>0</v>
      </c>
    </row>
    <row r="4" spans="1:30" ht="20.149999999999999" customHeight="1">
      <c r="A4" t="s">
        <v>743</v>
      </c>
      <c r="B4" s="61" t="s">
        <v>240</v>
      </c>
      <c r="C4" s="108" t="s">
        <v>56</v>
      </c>
      <c r="D4" s="108" t="s">
        <v>57</v>
      </c>
      <c r="E4" s="108">
        <v>0</v>
      </c>
      <c r="F4" s="108">
        <v>2000</v>
      </c>
      <c r="G4" s="108">
        <v>2000</v>
      </c>
      <c r="H4" s="108" t="s">
        <v>55</v>
      </c>
      <c r="I4" s="111">
        <v>2000</v>
      </c>
      <c r="J4" s="65">
        <v>2000</v>
      </c>
      <c r="K4" s="65"/>
      <c r="L4" s="82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1"/>
      <c r="AC4" s="117">
        <v>2000</v>
      </c>
      <c r="AD4" s="117">
        <v>0</v>
      </c>
    </row>
    <row r="5" spans="1:30" ht="20.149999999999999" customHeight="1">
      <c r="A5" t="s">
        <v>743</v>
      </c>
      <c r="B5" s="61" t="s">
        <v>342</v>
      </c>
      <c r="C5" s="108" t="s">
        <v>68</v>
      </c>
      <c r="D5" s="108" t="s">
        <v>69</v>
      </c>
      <c r="E5" s="108">
        <v>0</v>
      </c>
      <c r="F5" s="108">
        <v>2000</v>
      </c>
      <c r="G5" s="108">
        <v>2000</v>
      </c>
      <c r="H5" s="108" t="s">
        <v>55</v>
      </c>
      <c r="I5" s="111">
        <v>2000</v>
      </c>
      <c r="J5" s="65">
        <v>2000</v>
      </c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1"/>
      <c r="AC5" s="117">
        <v>2000</v>
      </c>
      <c r="AD5" s="117">
        <v>0</v>
      </c>
    </row>
    <row r="6" spans="1:30" ht="20.149999999999999" customHeight="1">
      <c r="A6" t="s">
        <v>743</v>
      </c>
      <c r="B6" s="61" t="s">
        <v>326</v>
      </c>
      <c r="C6" s="108" t="s">
        <v>327</v>
      </c>
      <c r="D6" s="108" t="s">
        <v>328</v>
      </c>
      <c r="E6" s="108">
        <v>537.09</v>
      </c>
      <c r="F6" s="108">
        <v>5908</v>
      </c>
      <c r="G6" s="108">
        <v>5370.91</v>
      </c>
      <c r="H6" s="108" t="s">
        <v>8</v>
      </c>
      <c r="I6" s="111">
        <v>5908</v>
      </c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1"/>
      <c r="AC6" s="117">
        <v>0</v>
      </c>
      <c r="AD6" s="117">
        <v>-5370.91</v>
      </c>
    </row>
    <row r="7" spans="1:30" ht="20.149999999999999" customHeight="1">
      <c r="A7" t="s">
        <v>743</v>
      </c>
      <c r="B7" s="61" t="s">
        <v>311</v>
      </c>
      <c r="C7" s="108" t="s">
        <v>318</v>
      </c>
      <c r="D7" s="108" t="s">
        <v>319</v>
      </c>
      <c r="E7" s="108">
        <v>636.36363600000004</v>
      </c>
      <c r="F7" s="108">
        <v>7000</v>
      </c>
      <c r="G7" s="108">
        <v>6363.636364</v>
      </c>
      <c r="H7" s="108" t="s">
        <v>8</v>
      </c>
      <c r="I7" s="111">
        <v>7000</v>
      </c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1"/>
      <c r="AC7" s="117">
        <v>0</v>
      </c>
      <c r="AD7" s="117">
        <v>-6363.636364</v>
      </c>
    </row>
    <row r="8" spans="1:30" ht="20.149999999999999" customHeight="1">
      <c r="A8" t="s">
        <v>743</v>
      </c>
      <c r="B8" s="61" t="s">
        <v>282</v>
      </c>
      <c r="C8" s="108" t="s">
        <v>103</v>
      </c>
      <c r="D8" s="108" t="s">
        <v>104</v>
      </c>
      <c r="E8" s="108">
        <v>890.91</v>
      </c>
      <c r="F8" s="108">
        <v>9800</v>
      </c>
      <c r="G8" s="108">
        <v>8909.09</v>
      </c>
      <c r="H8" s="108" t="s">
        <v>8</v>
      </c>
      <c r="I8" s="111">
        <v>9800</v>
      </c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1"/>
      <c r="AC8" s="117">
        <v>0</v>
      </c>
      <c r="AD8" s="117">
        <v>-8909.09</v>
      </c>
    </row>
    <row r="9" spans="1:30" ht="20.149999999999999" customHeight="1">
      <c r="B9" s="90"/>
      <c r="C9" s="91" t="s">
        <v>703</v>
      </c>
      <c r="D9" s="91" t="s">
        <v>704</v>
      </c>
      <c r="E9" s="91" t="s">
        <v>705</v>
      </c>
      <c r="F9" s="91" t="s">
        <v>706</v>
      </c>
      <c r="G9" s="91">
        <v>1</v>
      </c>
      <c r="H9" s="91" t="s">
        <v>515</v>
      </c>
      <c r="I9" s="102">
        <v>11000</v>
      </c>
      <c r="J9" s="84"/>
      <c r="K9" s="84"/>
      <c r="L9" s="92"/>
      <c r="M9" s="84"/>
      <c r="N9" s="92">
        <v>11000</v>
      </c>
      <c r="O9" s="84"/>
      <c r="P9" s="84"/>
      <c r="Q9" s="92"/>
      <c r="R9" s="92"/>
      <c r="S9" s="92"/>
      <c r="T9" s="84"/>
      <c r="U9" s="93"/>
      <c r="V9" s="84"/>
      <c r="W9" s="92"/>
      <c r="X9" s="92"/>
      <c r="Y9" s="92"/>
      <c r="Z9" s="92"/>
      <c r="AA9" s="92"/>
    </row>
    <row r="10" spans="1:30" ht="20.149999999999999" customHeight="1">
      <c r="A10" t="s">
        <v>743</v>
      </c>
      <c r="B10" s="61" t="s">
        <v>255</v>
      </c>
      <c r="C10" s="108" t="s">
        <v>258</v>
      </c>
      <c r="D10" s="108" t="s">
        <v>259</v>
      </c>
      <c r="E10" s="108">
        <v>1000</v>
      </c>
      <c r="F10" s="108">
        <v>11000</v>
      </c>
      <c r="G10" s="108">
        <v>10000</v>
      </c>
      <c r="H10" s="108" t="s">
        <v>8</v>
      </c>
      <c r="I10" s="111">
        <v>11000</v>
      </c>
      <c r="J10" s="64"/>
      <c r="K10" s="65"/>
      <c r="L10" s="64"/>
      <c r="M10" s="64"/>
      <c r="N10" s="64"/>
      <c r="O10" s="64"/>
      <c r="P10" s="64">
        <v>11000</v>
      </c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1"/>
      <c r="AC10" s="117">
        <v>11000</v>
      </c>
      <c r="AD10" s="117">
        <v>1000</v>
      </c>
    </row>
    <row r="11" spans="1:30" ht="20.149999999999999" customHeight="1">
      <c r="B11" s="90"/>
      <c r="C11" s="91" t="s">
        <v>668</v>
      </c>
      <c r="D11" s="91" t="s">
        <v>669</v>
      </c>
      <c r="E11" s="91" t="s">
        <v>670</v>
      </c>
      <c r="F11" s="91" t="s">
        <v>671</v>
      </c>
      <c r="G11" s="91">
        <v>1</v>
      </c>
      <c r="H11" s="91" t="s">
        <v>515</v>
      </c>
      <c r="I11" s="102">
        <v>12000</v>
      </c>
      <c r="J11" s="84"/>
      <c r="K11" s="84"/>
      <c r="L11" s="92"/>
      <c r="M11" s="84"/>
      <c r="N11" s="92">
        <v>12000</v>
      </c>
      <c r="O11" s="84"/>
      <c r="P11" s="84"/>
      <c r="Q11" s="92"/>
      <c r="R11" s="92"/>
      <c r="S11" s="92"/>
      <c r="T11" s="84"/>
      <c r="U11" s="93"/>
      <c r="V11" s="92"/>
      <c r="W11" s="92"/>
      <c r="X11" s="92"/>
      <c r="Y11" s="92"/>
      <c r="Z11" s="92"/>
      <c r="AA11" s="92"/>
    </row>
    <row r="12" spans="1:30" ht="20.149999999999999" customHeight="1">
      <c r="A12" t="s">
        <v>743</v>
      </c>
      <c r="B12" s="61" t="s">
        <v>337</v>
      </c>
      <c r="C12" s="108" t="s">
        <v>103</v>
      </c>
      <c r="D12" s="108" t="s">
        <v>104</v>
      </c>
      <c r="E12" s="108">
        <v>1263.6400000000001</v>
      </c>
      <c r="F12" s="108">
        <v>13900</v>
      </c>
      <c r="G12" s="108">
        <v>12636.36</v>
      </c>
      <c r="H12" s="108" t="s">
        <v>8</v>
      </c>
      <c r="I12" s="111">
        <v>13900</v>
      </c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1"/>
      <c r="AC12" s="117">
        <v>0</v>
      </c>
      <c r="AD12" s="117">
        <v>-12636.36</v>
      </c>
    </row>
    <row r="13" spans="1:30" ht="20.149999999999999" customHeight="1">
      <c r="A13" t="s">
        <v>743</v>
      </c>
      <c r="B13" s="61" t="s">
        <v>311</v>
      </c>
      <c r="C13" s="108" t="s">
        <v>128</v>
      </c>
      <c r="D13" s="108" t="s">
        <v>129</v>
      </c>
      <c r="E13" s="108">
        <v>1272.73</v>
      </c>
      <c r="F13" s="108">
        <v>14000</v>
      </c>
      <c r="G13" s="108">
        <v>12727.27</v>
      </c>
      <c r="H13" s="108" t="s">
        <v>8</v>
      </c>
      <c r="I13" s="111">
        <v>14000</v>
      </c>
      <c r="J13" s="65">
        <v>12727.27</v>
      </c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1"/>
      <c r="AC13" s="117">
        <v>12727.27</v>
      </c>
      <c r="AD13" s="117">
        <v>0</v>
      </c>
    </row>
    <row r="14" spans="1:30" ht="20.149999999999999" customHeight="1">
      <c r="A14" t="s">
        <v>743</v>
      </c>
      <c r="B14" s="61" t="s">
        <v>311</v>
      </c>
      <c r="C14" s="108" t="s">
        <v>245</v>
      </c>
      <c r="D14" s="108" t="s">
        <v>246</v>
      </c>
      <c r="E14" s="108">
        <v>1363.64</v>
      </c>
      <c r="F14" s="108">
        <v>15000</v>
      </c>
      <c r="G14" s="108">
        <v>13636.36</v>
      </c>
      <c r="H14" s="108" t="s">
        <v>8</v>
      </c>
      <c r="I14" s="111">
        <v>15000</v>
      </c>
      <c r="J14" s="65">
        <v>13636.36</v>
      </c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1"/>
      <c r="AC14" s="117">
        <v>13636.36</v>
      </c>
      <c r="AD14" s="117">
        <v>0</v>
      </c>
    </row>
    <row r="15" spans="1:30" ht="20.149999999999999" customHeight="1">
      <c r="A15" t="s">
        <v>743</v>
      </c>
      <c r="B15" s="61" t="s">
        <v>311</v>
      </c>
      <c r="C15" s="108" t="s">
        <v>87</v>
      </c>
      <c r="D15" s="108" t="s">
        <v>88</v>
      </c>
      <c r="E15" s="108">
        <v>1363.64</v>
      </c>
      <c r="F15" s="108">
        <v>15000</v>
      </c>
      <c r="G15" s="108">
        <v>13636.36</v>
      </c>
      <c r="H15" s="108" t="s">
        <v>8</v>
      </c>
      <c r="I15" s="111">
        <v>15000</v>
      </c>
      <c r="J15" s="65">
        <v>13636.36</v>
      </c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1"/>
      <c r="AC15" s="117">
        <v>13636.36</v>
      </c>
      <c r="AD15" s="117">
        <v>0</v>
      </c>
    </row>
    <row r="16" spans="1:30" ht="20.149999999999999" customHeight="1">
      <c r="A16" t="s">
        <v>743</v>
      </c>
      <c r="B16" s="61" t="s">
        <v>240</v>
      </c>
      <c r="C16" s="108" t="s">
        <v>78</v>
      </c>
      <c r="D16" s="108" t="s">
        <v>79</v>
      </c>
      <c r="E16" s="108">
        <v>1418.18</v>
      </c>
      <c r="F16" s="108">
        <v>15600</v>
      </c>
      <c r="G16" s="108">
        <v>14181.82</v>
      </c>
      <c r="H16" s="108" t="s">
        <v>8</v>
      </c>
      <c r="I16" s="111">
        <v>15600</v>
      </c>
      <c r="J16" s="82"/>
      <c r="K16" s="64"/>
      <c r="L16" s="65">
        <v>14181.82</v>
      </c>
      <c r="M16" s="64"/>
      <c r="N16" s="65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1"/>
      <c r="AC16" s="117">
        <v>14181.82</v>
      </c>
      <c r="AD16" s="117">
        <v>0</v>
      </c>
    </row>
    <row r="17" spans="1:30" ht="20.149999999999999" customHeight="1">
      <c r="A17" t="s">
        <v>743</v>
      </c>
      <c r="B17" s="61" t="s">
        <v>240</v>
      </c>
      <c r="C17" s="108" t="s">
        <v>251</v>
      </c>
      <c r="D17" s="108" t="s">
        <v>252</v>
      </c>
      <c r="E17" s="108">
        <v>1700</v>
      </c>
      <c r="F17" s="108">
        <v>18700</v>
      </c>
      <c r="G17" s="108">
        <v>17000</v>
      </c>
      <c r="H17" s="108" t="s">
        <v>8</v>
      </c>
      <c r="I17" s="111">
        <v>18700</v>
      </c>
      <c r="J17" s="82"/>
      <c r="K17" s="64"/>
      <c r="L17" s="64"/>
      <c r="M17" s="64"/>
      <c r="N17" s="64"/>
      <c r="O17" s="64">
        <v>18700</v>
      </c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1"/>
      <c r="AC17" s="117">
        <v>18700</v>
      </c>
      <c r="AD17" s="117">
        <v>1700</v>
      </c>
    </row>
    <row r="18" spans="1:30" ht="20.149999999999999" customHeight="1">
      <c r="A18" t="s">
        <v>743</v>
      </c>
      <c r="B18" s="61" t="s">
        <v>326</v>
      </c>
      <c r="C18" s="108" t="s">
        <v>333</v>
      </c>
      <c r="D18" s="108" t="s">
        <v>334</v>
      </c>
      <c r="E18" s="108">
        <v>0</v>
      </c>
      <c r="F18" s="108">
        <v>19500</v>
      </c>
      <c r="G18" s="108">
        <v>19500</v>
      </c>
      <c r="H18" s="108" t="s">
        <v>8</v>
      </c>
      <c r="I18" s="111">
        <v>19500</v>
      </c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1"/>
      <c r="AC18" s="117">
        <v>0</v>
      </c>
      <c r="AD18" s="117">
        <v>-19500</v>
      </c>
    </row>
    <row r="19" spans="1:30" ht="20.149999999999999" customHeight="1">
      <c r="A19" t="s">
        <v>743</v>
      </c>
      <c r="B19" s="61" t="s">
        <v>311</v>
      </c>
      <c r="C19" s="108" t="s">
        <v>87</v>
      </c>
      <c r="D19" s="108" t="s">
        <v>88</v>
      </c>
      <c r="E19" s="108">
        <v>1818.18</v>
      </c>
      <c r="F19" s="108">
        <v>20000</v>
      </c>
      <c r="G19" s="108">
        <v>18181.82</v>
      </c>
      <c r="H19" s="108" t="s">
        <v>8</v>
      </c>
      <c r="I19" s="111">
        <v>20000</v>
      </c>
      <c r="J19" s="65">
        <v>18181.82</v>
      </c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1"/>
      <c r="AC19" s="117">
        <v>18181.82</v>
      </c>
      <c r="AD19" s="117">
        <v>0</v>
      </c>
    </row>
    <row r="20" spans="1:30" ht="20.149999999999999" customHeight="1">
      <c r="B20" s="90"/>
      <c r="C20" s="91" t="s">
        <v>723</v>
      </c>
      <c r="D20" s="91" t="s">
        <v>724</v>
      </c>
      <c r="E20" s="91" t="s">
        <v>652</v>
      </c>
      <c r="F20" s="91" t="s">
        <v>653</v>
      </c>
      <c r="G20" s="91">
        <v>1</v>
      </c>
      <c r="H20" s="91" t="s">
        <v>515</v>
      </c>
      <c r="I20" s="103">
        <v>22000</v>
      </c>
      <c r="J20" s="84"/>
      <c r="K20" s="84"/>
      <c r="L20" s="92"/>
      <c r="M20" s="84"/>
      <c r="N20" s="92">
        <v>22000</v>
      </c>
      <c r="O20" s="84"/>
      <c r="P20" s="84"/>
      <c r="Q20" s="92"/>
      <c r="R20" s="92"/>
      <c r="S20" s="92"/>
      <c r="T20" s="84"/>
      <c r="U20" s="93"/>
      <c r="V20" s="84"/>
      <c r="W20" s="92"/>
      <c r="X20" s="92"/>
      <c r="Y20" s="92"/>
      <c r="Z20" s="92"/>
      <c r="AA20" s="92"/>
    </row>
    <row r="21" spans="1:30" ht="20.149999999999999" customHeight="1">
      <c r="A21" t="s">
        <v>743</v>
      </c>
      <c r="B21" s="61" t="s">
        <v>240</v>
      </c>
      <c r="C21" s="108" t="s">
        <v>243</v>
      </c>
      <c r="D21" s="108" t="s">
        <v>244</v>
      </c>
      <c r="E21" s="108">
        <v>2000</v>
      </c>
      <c r="F21" s="108">
        <v>22000</v>
      </c>
      <c r="G21" s="108">
        <v>20000</v>
      </c>
      <c r="H21" s="108" t="s">
        <v>8</v>
      </c>
      <c r="I21" s="111">
        <v>22000</v>
      </c>
      <c r="J21" s="64"/>
      <c r="K21" s="64"/>
      <c r="L21" s="64"/>
      <c r="M21" s="65">
        <v>20000</v>
      </c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1"/>
      <c r="AC21" s="117">
        <v>20000</v>
      </c>
      <c r="AD21" s="117">
        <v>0</v>
      </c>
    </row>
    <row r="22" spans="1:30" ht="20.149999999999999" customHeight="1">
      <c r="A22" t="s">
        <v>743</v>
      </c>
      <c r="B22" s="61" t="s">
        <v>240</v>
      </c>
      <c r="C22" s="108" t="s">
        <v>249</v>
      </c>
      <c r="D22" s="108" t="s">
        <v>250</v>
      </c>
      <c r="E22" s="108">
        <v>2000</v>
      </c>
      <c r="F22" s="108">
        <v>22000</v>
      </c>
      <c r="G22" s="108">
        <v>20000</v>
      </c>
      <c r="H22" s="108" t="s">
        <v>8</v>
      </c>
      <c r="I22" s="111">
        <v>22000</v>
      </c>
      <c r="J22" s="82"/>
      <c r="K22" s="64"/>
      <c r="L22" s="64"/>
      <c r="M22" s="64"/>
      <c r="N22" s="64"/>
      <c r="O22" s="64"/>
      <c r="P22" s="65">
        <v>20000</v>
      </c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1"/>
      <c r="AC22" s="117">
        <v>20000</v>
      </c>
      <c r="AD22" s="117">
        <v>0</v>
      </c>
    </row>
    <row r="23" spans="1:30" ht="20.149999999999999" customHeight="1">
      <c r="B23" s="90"/>
      <c r="C23" s="91" t="s">
        <v>608</v>
      </c>
      <c r="D23" s="91" t="s">
        <v>609</v>
      </c>
      <c r="E23" s="91" t="s">
        <v>610</v>
      </c>
      <c r="F23" s="91" t="s">
        <v>611</v>
      </c>
      <c r="G23" s="91">
        <v>1</v>
      </c>
      <c r="H23" s="91" t="s">
        <v>515</v>
      </c>
      <c r="I23" s="102">
        <v>22200</v>
      </c>
      <c r="J23" s="84">
        <v>22200</v>
      </c>
      <c r="K23" s="84"/>
      <c r="L23" s="92"/>
      <c r="M23" s="84"/>
      <c r="N23" s="92"/>
      <c r="O23" s="84"/>
      <c r="P23" s="84"/>
      <c r="Q23" s="92"/>
      <c r="R23" s="92"/>
      <c r="S23" s="92"/>
      <c r="T23" s="84"/>
      <c r="U23" s="93"/>
      <c r="V23" s="84"/>
      <c r="W23" s="92"/>
      <c r="X23" s="92"/>
      <c r="Y23" s="92"/>
      <c r="Z23" s="92"/>
      <c r="AA23" s="92"/>
    </row>
    <row r="24" spans="1:30" ht="20.149999999999999" customHeight="1">
      <c r="A24" t="s">
        <v>743</v>
      </c>
      <c r="B24" s="61" t="s">
        <v>282</v>
      </c>
      <c r="C24" s="108" t="s">
        <v>285</v>
      </c>
      <c r="D24" s="108" t="s">
        <v>286</v>
      </c>
      <c r="E24" s="108">
        <v>2018.18</v>
      </c>
      <c r="F24" s="108">
        <v>22200</v>
      </c>
      <c r="G24" s="108">
        <v>20181.82</v>
      </c>
      <c r="H24" s="108" t="s">
        <v>8</v>
      </c>
      <c r="I24" s="111">
        <v>22200</v>
      </c>
      <c r="J24" s="64"/>
      <c r="K24" s="82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1"/>
      <c r="AC24" s="117">
        <v>0</v>
      </c>
      <c r="AD24" s="117">
        <v>-20181.82</v>
      </c>
    </row>
    <row r="25" spans="1:30" ht="20.149999999999999" customHeight="1">
      <c r="B25" s="90"/>
      <c r="C25" s="91" t="s">
        <v>666</v>
      </c>
      <c r="D25" s="91" t="s">
        <v>667</v>
      </c>
      <c r="E25" s="91" t="s">
        <v>562</v>
      </c>
      <c r="F25" s="91" t="s">
        <v>563</v>
      </c>
      <c r="G25" s="91">
        <v>1</v>
      </c>
      <c r="H25" s="91" t="s">
        <v>515</v>
      </c>
      <c r="I25" s="102">
        <v>24000</v>
      </c>
      <c r="J25" s="84"/>
      <c r="K25" s="84"/>
      <c r="L25" s="92"/>
      <c r="M25" s="84"/>
      <c r="N25" s="92"/>
      <c r="O25" s="84"/>
      <c r="P25" s="84"/>
      <c r="Q25" s="92"/>
      <c r="R25" s="92"/>
      <c r="S25" s="92"/>
      <c r="T25" s="84"/>
      <c r="U25" s="93"/>
      <c r="V25" s="84"/>
      <c r="W25" s="92">
        <v>24000</v>
      </c>
      <c r="X25" s="92"/>
      <c r="Y25" s="92"/>
      <c r="Z25" s="92"/>
      <c r="AA25" s="92"/>
    </row>
    <row r="26" spans="1:30" ht="20.149999999999999" customHeight="1">
      <c r="A26" t="s">
        <v>743</v>
      </c>
      <c r="B26" s="61" t="s">
        <v>311</v>
      </c>
      <c r="C26" s="108" t="s">
        <v>128</v>
      </c>
      <c r="D26" s="108" t="s">
        <v>129</v>
      </c>
      <c r="E26" s="108">
        <v>2263.64</v>
      </c>
      <c r="F26" s="108">
        <v>24900</v>
      </c>
      <c r="G26" s="108">
        <v>22636.36</v>
      </c>
      <c r="H26" s="108" t="s">
        <v>8</v>
      </c>
      <c r="I26" s="111">
        <v>24900</v>
      </c>
      <c r="J26" s="65">
        <v>22636.36</v>
      </c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1"/>
      <c r="AC26" s="117">
        <v>22636.36</v>
      </c>
      <c r="AD26" s="117">
        <v>0</v>
      </c>
    </row>
    <row r="27" spans="1:30" ht="20.149999999999999" customHeight="1">
      <c r="A27" t="s">
        <v>743</v>
      </c>
      <c r="B27" s="61" t="s">
        <v>240</v>
      </c>
      <c r="C27" s="108" t="s">
        <v>245</v>
      </c>
      <c r="D27" s="108" t="s">
        <v>246</v>
      </c>
      <c r="E27" s="108">
        <v>2272.73</v>
      </c>
      <c r="F27" s="108">
        <v>25000</v>
      </c>
      <c r="G27" s="108">
        <v>22727.27</v>
      </c>
      <c r="H27" s="108" t="s">
        <v>8</v>
      </c>
      <c r="I27" s="111">
        <v>25000</v>
      </c>
      <c r="J27" s="65">
        <v>22727.27</v>
      </c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1"/>
      <c r="AC27" s="117">
        <v>22727.27</v>
      </c>
      <c r="AD27" s="117">
        <v>0</v>
      </c>
    </row>
    <row r="28" spans="1:30" ht="20.149999999999999" customHeight="1">
      <c r="A28" t="s">
        <v>743</v>
      </c>
      <c r="B28" s="61" t="s">
        <v>240</v>
      </c>
      <c r="C28" s="108" t="s">
        <v>245</v>
      </c>
      <c r="D28" s="108" t="s">
        <v>246</v>
      </c>
      <c r="E28" s="108">
        <v>2272.73</v>
      </c>
      <c r="F28" s="108">
        <v>25000</v>
      </c>
      <c r="G28" s="108">
        <v>22727.27</v>
      </c>
      <c r="H28" s="108" t="s">
        <v>8</v>
      </c>
      <c r="I28" s="111">
        <v>25000</v>
      </c>
      <c r="J28" s="65">
        <v>22727.27</v>
      </c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1"/>
      <c r="AC28" s="117">
        <v>22727.27</v>
      </c>
      <c r="AD28" s="117">
        <v>0</v>
      </c>
    </row>
    <row r="29" spans="1:30" ht="20.149999999999999" customHeight="1">
      <c r="B29" s="90"/>
      <c r="C29" s="91" t="s">
        <v>680</v>
      </c>
      <c r="D29" s="91" t="s">
        <v>681</v>
      </c>
      <c r="E29" s="91" t="s">
        <v>682</v>
      </c>
      <c r="F29" s="91" t="s">
        <v>683</v>
      </c>
      <c r="G29" s="91">
        <v>1</v>
      </c>
      <c r="H29" s="91" t="s">
        <v>515</v>
      </c>
      <c r="I29" s="102">
        <v>30000</v>
      </c>
      <c r="J29" s="84"/>
      <c r="K29" s="84"/>
      <c r="L29" s="92"/>
      <c r="M29" s="84"/>
      <c r="N29" s="92">
        <v>30000</v>
      </c>
      <c r="O29" s="84"/>
      <c r="P29" s="84"/>
      <c r="Q29" s="92"/>
      <c r="R29" s="92"/>
      <c r="S29" s="92"/>
      <c r="T29" s="84"/>
      <c r="U29" s="93"/>
      <c r="V29" s="84"/>
      <c r="W29" s="92"/>
      <c r="X29" s="92"/>
      <c r="Y29" s="92"/>
      <c r="Z29" s="92"/>
      <c r="AA29" s="92"/>
    </row>
    <row r="30" spans="1:30" ht="20.149999999999999" customHeight="1">
      <c r="A30" t="s">
        <v>743</v>
      </c>
      <c r="B30" s="61" t="s">
        <v>338</v>
      </c>
      <c r="C30" s="108" t="s">
        <v>94</v>
      </c>
      <c r="D30" s="108" t="s">
        <v>95</v>
      </c>
      <c r="E30" s="108">
        <v>2727.27</v>
      </c>
      <c r="F30" s="108">
        <v>30000</v>
      </c>
      <c r="G30" s="108">
        <v>27272.73</v>
      </c>
      <c r="H30" s="108" t="s">
        <v>8</v>
      </c>
      <c r="I30" s="111">
        <v>30000</v>
      </c>
      <c r="J30" s="65">
        <v>27272.73</v>
      </c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1"/>
      <c r="AC30" s="117">
        <v>27272.73</v>
      </c>
      <c r="AD30" s="117">
        <v>0</v>
      </c>
    </row>
    <row r="31" spans="1:30" ht="20.149999999999999" customHeight="1">
      <c r="A31" t="s">
        <v>743</v>
      </c>
      <c r="B31" s="61" t="s">
        <v>342</v>
      </c>
      <c r="C31" s="108" t="s">
        <v>156</v>
      </c>
      <c r="D31" s="108" t="s">
        <v>157</v>
      </c>
      <c r="E31" s="108">
        <v>2727.27</v>
      </c>
      <c r="F31" s="108">
        <v>30000</v>
      </c>
      <c r="G31" s="108">
        <v>27272.73</v>
      </c>
      <c r="H31" s="108" t="s">
        <v>8</v>
      </c>
      <c r="I31" s="111">
        <v>30000</v>
      </c>
      <c r="J31" s="65">
        <v>27272.73</v>
      </c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1"/>
      <c r="AC31" s="117">
        <v>27272.73</v>
      </c>
      <c r="AD31" s="117">
        <v>0</v>
      </c>
    </row>
    <row r="32" spans="1:30" ht="20.149999999999999" customHeight="1">
      <c r="A32" t="s">
        <v>743</v>
      </c>
      <c r="B32" s="61" t="s">
        <v>342</v>
      </c>
      <c r="C32" s="108" t="s">
        <v>156</v>
      </c>
      <c r="D32" s="108" t="s">
        <v>157</v>
      </c>
      <c r="E32" s="108">
        <v>2727.27</v>
      </c>
      <c r="F32" s="108">
        <v>30000</v>
      </c>
      <c r="G32" s="108">
        <v>27272.73</v>
      </c>
      <c r="H32" s="108" t="s">
        <v>8</v>
      </c>
      <c r="I32" s="111">
        <v>30000</v>
      </c>
      <c r="J32" s="65">
        <v>27272.73</v>
      </c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1"/>
      <c r="AC32" s="117">
        <v>27272.73</v>
      </c>
      <c r="AD32" s="117">
        <v>0</v>
      </c>
    </row>
    <row r="33" spans="1:30" ht="20.149999999999999" customHeight="1">
      <c r="A33" t="s">
        <v>743</v>
      </c>
      <c r="B33" s="61" t="s">
        <v>342</v>
      </c>
      <c r="C33" s="108" t="s">
        <v>276</v>
      </c>
      <c r="D33" s="108" t="s">
        <v>277</v>
      </c>
      <c r="E33" s="108">
        <v>2727.27</v>
      </c>
      <c r="F33" s="108">
        <v>30000</v>
      </c>
      <c r="G33" s="108">
        <v>27272.73</v>
      </c>
      <c r="H33" s="108" t="s">
        <v>8</v>
      </c>
      <c r="I33" s="111">
        <v>30000</v>
      </c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1"/>
      <c r="AC33" s="117">
        <v>0</v>
      </c>
      <c r="AD33" s="117">
        <v>-27272.73</v>
      </c>
    </row>
    <row r="34" spans="1:30" ht="20.149999999999999" customHeight="1">
      <c r="A34" t="s">
        <v>743</v>
      </c>
      <c r="B34" s="61" t="s">
        <v>307</v>
      </c>
      <c r="C34" s="108" t="s">
        <v>308</v>
      </c>
      <c r="D34" s="108" t="s">
        <v>309</v>
      </c>
      <c r="E34" s="108">
        <v>3348.2142859999999</v>
      </c>
      <c r="F34" s="108">
        <v>37500</v>
      </c>
      <c r="G34" s="108">
        <v>34151.785713999998</v>
      </c>
      <c r="H34" s="108" t="s">
        <v>8</v>
      </c>
      <c r="I34" s="111">
        <v>37500</v>
      </c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1"/>
      <c r="AC34" s="117">
        <v>0</v>
      </c>
      <c r="AD34" s="117">
        <v>-34151.785713999998</v>
      </c>
    </row>
    <row r="35" spans="1:30" ht="20.149999999999999" customHeight="1">
      <c r="A35" t="s">
        <v>743</v>
      </c>
      <c r="B35" s="61" t="s">
        <v>326</v>
      </c>
      <c r="C35" s="108" t="s">
        <v>335</v>
      </c>
      <c r="D35" s="108" t="s">
        <v>336</v>
      </c>
      <c r="E35" s="108">
        <v>0</v>
      </c>
      <c r="F35" s="108">
        <v>38000</v>
      </c>
      <c r="G35" s="108">
        <v>38000</v>
      </c>
      <c r="H35" s="108" t="s">
        <v>8</v>
      </c>
      <c r="I35" s="111">
        <v>38000</v>
      </c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1"/>
      <c r="AC35" s="117">
        <v>0</v>
      </c>
      <c r="AD35" s="117">
        <v>-38000</v>
      </c>
    </row>
    <row r="36" spans="1:30" ht="20.149999999999999" customHeight="1">
      <c r="B36" s="90"/>
      <c r="C36" s="91" t="s">
        <v>574</v>
      </c>
      <c r="D36" s="91" t="s">
        <v>575</v>
      </c>
      <c r="E36" s="91" t="s">
        <v>576</v>
      </c>
      <c r="F36" s="91" t="s">
        <v>577</v>
      </c>
      <c r="G36" s="91">
        <v>1</v>
      </c>
      <c r="H36" s="91" t="s">
        <v>515</v>
      </c>
      <c r="I36" s="102">
        <v>40000</v>
      </c>
      <c r="J36" s="84"/>
      <c r="K36" s="84"/>
      <c r="L36" s="92"/>
      <c r="M36" s="84"/>
      <c r="N36" s="92"/>
      <c r="O36" s="84"/>
      <c r="P36" s="84"/>
      <c r="Q36" s="92"/>
      <c r="R36" s="92"/>
      <c r="S36" s="92"/>
      <c r="T36" s="84"/>
      <c r="U36" s="93"/>
      <c r="V36" s="84"/>
      <c r="W36" s="92"/>
      <c r="X36" s="92"/>
      <c r="Y36" s="92">
        <v>40000</v>
      </c>
      <c r="Z36" s="92"/>
      <c r="AA36" s="92"/>
    </row>
    <row r="37" spans="1:30" ht="20.149999999999999" customHeight="1">
      <c r="A37" t="s">
        <v>743</v>
      </c>
      <c r="B37" s="61" t="s">
        <v>326</v>
      </c>
      <c r="C37" s="108" t="s">
        <v>331</v>
      </c>
      <c r="D37" s="108" t="s">
        <v>332</v>
      </c>
      <c r="E37" s="108">
        <v>3746.82</v>
      </c>
      <c r="F37" s="108">
        <v>41215</v>
      </c>
      <c r="G37" s="108">
        <v>37468.18</v>
      </c>
      <c r="H37" s="108" t="s">
        <v>8</v>
      </c>
      <c r="I37" s="111">
        <v>41215</v>
      </c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1"/>
      <c r="AC37" s="117">
        <v>0</v>
      </c>
      <c r="AD37" s="117">
        <v>-37468.18</v>
      </c>
    </row>
    <row r="38" spans="1:30" ht="20.149999999999999" customHeight="1">
      <c r="A38" t="s">
        <v>743</v>
      </c>
      <c r="B38" s="61" t="s">
        <v>311</v>
      </c>
      <c r="C38" s="108" t="s">
        <v>128</v>
      </c>
      <c r="D38" s="108" t="s">
        <v>129</v>
      </c>
      <c r="E38" s="108">
        <v>4072.73</v>
      </c>
      <c r="F38" s="108">
        <v>44800.01</v>
      </c>
      <c r="G38" s="108">
        <v>40727.279999999999</v>
      </c>
      <c r="H38" s="108" t="s">
        <v>8</v>
      </c>
      <c r="I38" s="111">
        <v>44800.01</v>
      </c>
      <c r="J38" s="65">
        <v>40727.279999999999</v>
      </c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1"/>
      <c r="AC38" s="117">
        <v>40727.279999999999</v>
      </c>
      <c r="AD38" s="117">
        <v>0</v>
      </c>
    </row>
    <row r="39" spans="1:30" ht="20.149999999999999" customHeight="1">
      <c r="A39" t="s">
        <v>743</v>
      </c>
      <c r="B39" s="61" t="s">
        <v>338</v>
      </c>
      <c r="C39" s="108" t="s">
        <v>335</v>
      </c>
      <c r="D39" s="108" t="s">
        <v>336</v>
      </c>
      <c r="E39" s="108">
        <v>0</v>
      </c>
      <c r="F39" s="108">
        <v>47000</v>
      </c>
      <c r="G39" s="108">
        <v>47000</v>
      </c>
      <c r="H39" s="108" t="s">
        <v>8</v>
      </c>
      <c r="I39" s="111">
        <v>47000</v>
      </c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1"/>
      <c r="AC39" s="117">
        <v>0</v>
      </c>
      <c r="AD39" s="117">
        <v>-47000</v>
      </c>
    </row>
    <row r="40" spans="1:30" ht="20.149999999999999" customHeight="1">
      <c r="A40" t="s">
        <v>743</v>
      </c>
      <c r="B40" s="61" t="s">
        <v>295</v>
      </c>
      <c r="C40" s="108" t="s">
        <v>300</v>
      </c>
      <c r="D40" s="108" t="s">
        <v>301</v>
      </c>
      <c r="E40" s="108">
        <v>4312.91</v>
      </c>
      <c r="F40" s="108">
        <v>47442</v>
      </c>
      <c r="G40" s="108">
        <v>43129.09</v>
      </c>
      <c r="H40" s="108" t="s">
        <v>8</v>
      </c>
      <c r="I40" s="111">
        <v>47442</v>
      </c>
      <c r="J40" s="65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1"/>
      <c r="AC40" s="117">
        <v>0</v>
      </c>
      <c r="AD40" s="117">
        <v>-43129.09</v>
      </c>
    </row>
    <row r="41" spans="1:30" ht="20.149999999999999" customHeight="1">
      <c r="A41" t="s">
        <v>743</v>
      </c>
      <c r="B41" s="61" t="s">
        <v>307</v>
      </c>
      <c r="C41" s="108" t="s">
        <v>140</v>
      </c>
      <c r="D41" s="108" t="s">
        <v>141</v>
      </c>
      <c r="E41" s="108">
        <v>0</v>
      </c>
      <c r="F41" s="108">
        <v>48250</v>
      </c>
      <c r="G41" s="108">
        <v>48250</v>
      </c>
      <c r="H41" s="108" t="s">
        <v>55</v>
      </c>
      <c r="I41" s="111">
        <v>48250</v>
      </c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1"/>
      <c r="AC41" s="117">
        <v>0</v>
      </c>
      <c r="AD41" s="117">
        <v>-48250</v>
      </c>
    </row>
    <row r="42" spans="1:30" ht="20.149999999999999" customHeight="1">
      <c r="B42" s="90"/>
      <c r="C42" s="91" t="s">
        <v>697</v>
      </c>
      <c r="D42" s="91" t="s">
        <v>698</v>
      </c>
      <c r="E42" s="91" t="s">
        <v>588</v>
      </c>
      <c r="F42" s="91" t="s">
        <v>589</v>
      </c>
      <c r="G42" s="91">
        <v>1</v>
      </c>
      <c r="H42" s="91" t="s">
        <v>515</v>
      </c>
      <c r="I42" s="102">
        <v>49500</v>
      </c>
      <c r="J42" s="84"/>
      <c r="K42" s="84"/>
      <c r="L42" s="92"/>
      <c r="M42" s="84"/>
      <c r="N42" s="92">
        <v>49500</v>
      </c>
      <c r="O42" s="84"/>
      <c r="P42" s="84"/>
      <c r="Q42" s="92"/>
      <c r="R42" s="92"/>
      <c r="S42" s="92"/>
      <c r="T42" s="84"/>
      <c r="U42" s="93"/>
      <c r="V42" s="84"/>
      <c r="W42" s="92"/>
      <c r="X42" s="92"/>
      <c r="Y42" s="92"/>
      <c r="Z42" s="92"/>
      <c r="AA42" s="92"/>
    </row>
    <row r="43" spans="1:30" ht="20.149999999999999" customHeight="1">
      <c r="A43" t="s">
        <v>743</v>
      </c>
      <c r="B43" s="61" t="s">
        <v>260</v>
      </c>
      <c r="C43" s="108" t="s">
        <v>116</v>
      </c>
      <c r="D43" s="108" t="s">
        <v>117</v>
      </c>
      <c r="E43" s="108">
        <v>0</v>
      </c>
      <c r="F43" s="108">
        <v>49500</v>
      </c>
      <c r="G43" s="108">
        <v>49500</v>
      </c>
      <c r="H43" s="108" t="s">
        <v>55</v>
      </c>
      <c r="I43" s="111">
        <v>49500</v>
      </c>
      <c r="J43" s="64"/>
      <c r="K43" s="64"/>
      <c r="L43" s="64"/>
      <c r="M43" s="64"/>
      <c r="N43" s="65">
        <v>49500</v>
      </c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1"/>
      <c r="AC43" s="117">
        <v>49500</v>
      </c>
      <c r="AD43" s="117">
        <v>0</v>
      </c>
    </row>
    <row r="44" spans="1:30" ht="20.149999999999999" customHeight="1">
      <c r="A44" t="s">
        <v>743</v>
      </c>
      <c r="B44" s="61" t="s">
        <v>260</v>
      </c>
      <c r="C44" s="108" t="s">
        <v>116</v>
      </c>
      <c r="D44" s="108" t="s">
        <v>117</v>
      </c>
      <c r="E44" s="108">
        <v>0</v>
      </c>
      <c r="F44" s="108">
        <v>49500</v>
      </c>
      <c r="G44" s="108">
        <v>49500</v>
      </c>
      <c r="H44" s="108" t="s">
        <v>55</v>
      </c>
      <c r="I44" s="111">
        <v>49500</v>
      </c>
      <c r="J44" s="64"/>
      <c r="K44" s="64"/>
      <c r="L44" s="64"/>
      <c r="M44" s="64"/>
      <c r="N44" s="65">
        <v>49500</v>
      </c>
      <c r="O44" s="64"/>
      <c r="P44" s="64"/>
      <c r="Q44" s="64"/>
      <c r="R44" s="65"/>
      <c r="S44" s="64"/>
      <c r="T44" s="64"/>
      <c r="U44" s="64"/>
      <c r="V44" s="64"/>
      <c r="W44" s="64"/>
      <c r="X44" s="64"/>
      <c r="Y44" s="64"/>
      <c r="Z44" s="64"/>
      <c r="AA44" s="64"/>
      <c r="AB44" s="61"/>
      <c r="AC44" s="117">
        <v>49500</v>
      </c>
      <c r="AD44" s="117">
        <v>0</v>
      </c>
    </row>
    <row r="45" spans="1:30" ht="20.149999999999999" customHeight="1">
      <c r="A45" t="s">
        <v>743</v>
      </c>
      <c r="B45" s="61" t="s">
        <v>282</v>
      </c>
      <c r="C45" s="108" t="s">
        <v>287</v>
      </c>
      <c r="D45" s="108" t="s">
        <v>288</v>
      </c>
      <c r="E45" s="108">
        <v>4545.46</v>
      </c>
      <c r="F45" s="108">
        <v>50000</v>
      </c>
      <c r="G45" s="108">
        <v>45454.54</v>
      </c>
      <c r="H45" s="108" t="s">
        <v>8</v>
      </c>
      <c r="I45" s="111">
        <v>50000</v>
      </c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1"/>
      <c r="AC45" s="117">
        <v>0</v>
      </c>
      <c r="AD45" s="117">
        <v>-45454.54</v>
      </c>
    </row>
    <row r="46" spans="1:30" ht="20.149999999999999" customHeight="1">
      <c r="A46" t="s">
        <v>743</v>
      </c>
      <c r="B46" s="61" t="s">
        <v>302</v>
      </c>
      <c r="C46" s="108" t="s">
        <v>156</v>
      </c>
      <c r="D46" s="108" t="s">
        <v>157</v>
      </c>
      <c r="E46" s="108">
        <v>4545.45</v>
      </c>
      <c r="F46" s="108">
        <v>50000</v>
      </c>
      <c r="G46" s="108">
        <v>45454.55</v>
      </c>
      <c r="H46" s="108" t="s">
        <v>8</v>
      </c>
      <c r="I46" s="111">
        <v>50000</v>
      </c>
      <c r="J46" s="65">
        <v>45454.55</v>
      </c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1"/>
      <c r="AC46" s="117">
        <v>45454.55</v>
      </c>
      <c r="AD46" s="117">
        <v>0</v>
      </c>
    </row>
    <row r="47" spans="1:30" ht="20.149999999999999" customHeight="1">
      <c r="A47" t="s">
        <v>743</v>
      </c>
      <c r="B47" s="61" t="s">
        <v>303</v>
      </c>
      <c r="C47" s="108" t="s">
        <v>304</v>
      </c>
      <c r="D47" s="108" t="s">
        <v>305</v>
      </c>
      <c r="E47" s="108">
        <v>4545.45</v>
      </c>
      <c r="F47" s="108">
        <v>50000</v>
      </c>
      <c r="G47" s="108">
        <v>45454.55</v>
      </c>
      <c r="H47" s="108" t="s">
        <v>8</v>
      </c>
      <c r="I47" s="111">
        <v>50000</v>
      </c>
      <c r="J47" s="65">
        <v>45454.55</v>
      </c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1"/>
      <c r="AC47" s="117">
        <v>45454.55</v>
      </c>
      <c r="AD47" s="117">
        <v>0</v>
      </c>
    </row>
    <row r="48" spans="1:30" ht="20.149999999999999" customHeight="1">
      <c r="A48" t="s">
        <v>743</v>
      </c>
      <c r="B48" s="61" t="s">
        <v>311</v>
      </c>
      <c r="C48" s="108" t="s">
        <v>87</v>
      </c>
      <c r="D48" s="108" t="s">
        <v>88</v>
      </c>
      <c r="E48" s="108">
        <v>4545.45</v>
      </c>
      <c r="F48" s="108">
        <v>50000</v>
      </c>
      <c r="G48" s="108">
        <v>45454.55</v>
      </c>
      <c r="H48" s="108" t="s">
        <v>8</v>
      </c>
      <c r="I48" s="111">
        <v>50000</v>
      </c>
      <c r="J48" s="65">
        <v>45454.55</v>
      </c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1"/>
      <c r="AC48" s="117">
        <v>45454.55</v>
      </c>
      <c r="AD48" s="117">
        <v>0</v>
      </c>
    </row>
    <row r="49" spans="1:30" ht="20.149999999999999" customHeight="1">
      <c r="A49" t="s">
        <v>743</v>
      </c>
      <c r="B49" s="61" t="s">
        <v>320</v>
      </c>
      <c r="C49" s="108" t="s">
        <v>321</v>
      </c>
      <c r="D49" s="108" t="s">
        <v>322</v>
      </c>
      <c r="E49" s="108">
        <v>0</v>
      </c>
      <c r="F49" s="108">
        <v>50000</v>
      </c>
      <c r="G49" s="108">
        <v>50000</v>
      </c>
      <c r="H49" s="108" t="s">
        <v>55</v>
      </c>
      <c r="I49" s="111">
        <v>50000</v>
      </c>
      <c r="J49" s="64"/>
      <c r="K49" s="64"/>
      <c r="L49" s="64"/>
      <c r="M49" s="65">
        <v>50000</v>
      </c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1"/>
      <c r="AC49" s="117">
        <v>50000</v>
      </c>
      <c r="AD49" s="117">
        <v>0</v>
      </c>
    </row>
    <row r="50" spans="1:30" ht="20.149999999999999" customHeight="1">
      <c r="A50" t="s">
        <v>743</v>
      </c>
      <c r="B50" s="61" t="s">
        <v>320</v>
      </c>
      <c r="C50" s="108" t="s">
        <v>156</v>
      </c>
      <c r="D50" s="108" t="s">
        <v>157</v>
      </c>
      <c r="E50" s="108">
        <v>4545.45</v>
      </c>
      <c r="F50" s="108">
        <v>50000</v>
      </c>
      <c r="G50" s="108">
        <v>45454.55</v>
      </c>
      <c r="H50" s="108" t="s">
        <v>8</v>
      </c>
      <c r="I50" s="111">
        <v>50000</v>
      </c>
      <c r="J50" s="65">
        <v>45454.55</v>
      </c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1"/>
      <c r="AC50" s="117">
        <v>45454.55</v>
      </c>
      <c r="AD50" s="117">
        <v>0</v>
      </c>
    </row>
    <row r="51" spans="1:30" ht="20.149999999999999" customHeight="1">
      <c r="A51" t="s">
        <v>743</v>
      </c>
      <c r="B51" s="61" t="s">
        <v>339</v>
      </c>
      <c r="C51" s="108" t="s">
        <v>156</v>
      </c>
      <c r="D51" s="108" t="s">
        <v>157</v>
      </c>
      <c r="E51" s="108">
        <v>4545.45</v>
      </c>
      <c r="F51" s="108">
        <v>50000</v>
      </c>
      <c r="G51" s="108">
        <v>45454.55</v>
      </c>
      <c r="H51" s="108" t="s">
        <v>8</v>
      </c>
      <c r="I51" s="111">
        <v>50000</v>
      </c>
      <c r="J51" s="65">
        <v>45454.55</v>
      </c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1"/>
      <c r="AC51" s="117">
        <v>45454.55</v>
      </c>
      <c r="AD51" s="117">
        <v>0</v>
      </c>
    </row>
    <row r="52" spans="1:30" ht="20.149999999999999" customHeight="1">
      <c r="A52" t="s">
        <v>743</v>
      </c>
      <c r="B52" s="61" t="s">
        <v>255</v>
      </c>
      <c r="C52" s="108" t="s">
        <v>103</v>
      </c>
      <c r="D52" s="108" t="s">
        <v>104</v>
      </c>
      <c r="E52" s="108">
        <v>4819.97</v>
      </c>
      <c r="F52" s="108">
        <v>53100</v>
      </c>
      <c r="G52" s="108">
        <v>48280.03</v>
      </c>
      <c r="H52" s="108" t="s">
        <v>8</v>
      </c>
      <c r="I52" s="111">
        <v>53100</v>
      </c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1"/>
      <c r="AC52" s="117">
        <v>0</v>
      </c>
      <c r="AD52" s="117">
        <v>-48280.03</v>
      </c>
    </row>
    <row r="53" spans="1:30" ht="20.149999999999999" customHeight="1">
      <c r="A53" t="s">
        <v>743</v>
      </c>
      <c r="B53" s="61" t="s">
        <v>311</v>
      </c>
      <c r="C53" s="108" t="s">
        <v>128</v>
      </c>
      <c r="D53" s="108" t="s">
        <v>129</v>
      </c>
      <c r="E53" s="108">
        <v>4981.82</v>
      </c>
      <c r="F53" s="108">
        <v>54799.99</v>
      </c>
      <c r="G53" s="108">
        <v>49818.17</v>
      </c>
      <c r="H53" s="108" t="s">
        <v>8</v>
      </c>
      <c r="I53" s="111">
        <v>54799.99</v>
      </c>
      <c r="J53" s="65">
        <v>49818.17</v>
      </c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1"/>
      <c r="AC53" s="117">
        <v>49818.17</v>
      </c>
      <c r="AD53" s="117">
        <v>0</v>
      </c>
    </row>
    <row r="54" spans="1:30" ht="20.149999999999999" customHeight="1">
      <c r="A54" t="s">
        <v>743</v>
      </c>
      <c r="B54" s="61" t="s">
        <v>326</v>
      </c>
      <c r="C54" s="108" t="s">
        <v>140</v>
      </c>
      <c r="D54" s="108" t="s">
        <v>141</v>
      </c>
      <c r="E54" s="108">
        <v>0</v>
      </c>
      <c r="F54" s="108">
        <v>57900</v>
      </c>
      <c r="G54" s="108">
        <v>57900</v>
      </c>
      <c r="H54" s="108" t="s">
        <v>55</v>
      </c>
      <c r="I54" s="111">
        <v>57900</v>
      </c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1"/>
      <c r="AC54" s="117">
        <v>0</v>
      </c>
      <c r="AD54" s="117">
        <v>-57900</v>
      </c>
    </row>
    <row r="55" spans="1:30" ht="20.149999999999999" customHeight="1">
      <c r="B55" s="90"/>
      <c r="C55" s="91" t="s">
        <v>672</v>
      </c>
      <c r="D55" s="91" t="s">
        <v>673</v>
      </c>
      <c r="E55" s="91" t="s">
        <v>674</v>
      </c>
      <c r="F55" s="91" t="s">
        <v>675</v>
      </c>
      <c r="G55" s="91">
        <v>1</v>
      </c>
      <c r="H55" s="91" t="s">
        <v>515</v>
      </c>
      <c r="I55" s="102">
        <v>60000</v>
      </c>
      <c r="J55" s="84"/>
      <c r="K55" s="84"/>
      <c r="L55" s="92"/>
      <c r="M55" s="84"/>
      <c r="N55" s="92"/>
      <c r="O55" s="84"/>
      <c r="P55" s="84"/>
      <c r="Q55" s="92">
        <v>60000</v>
      </c>
      <c r="R55" s="92"/>
      <c r="S55" s="92"/>
      <c r="T55" s="84"/>
      <c r="U55" s="93"/>
      <c r="V55" s="84"/>
      <c r="W55" s="92"/>
      <c r="X55" s="92"/>
      <c r="Y55" s="92"/>
      <c r="Z55" s="92"/>
      <c r="AA55" s="92"/>
    </row>
    <row r="56" spans="1:30" ht="20.149999999999999" customHeight="1">
      <c r="A56" t="s">
        <v>743</v>
      </c>
      <c r="B56" s="61" t="s">
        <v>263</v>
      </c>
      <c r="C56" s="108" t="s">
        <v>156</v>
      </c>
      <c r="D56" s="108" t="s">
        <v>157</v>
      </c>
      <c r="E56" s="108">
        <v>5454.55</v>
      </c>
      <c r="F56" s="108">
        <v>60000</v>
      </c>
      <c r="G56" s="108">
        <v>54545.45</v>
      </c>
      <c r="H56" s="108" t="s">
        <v>8</v>
      </c>
      <c r="I56" s="111">
        <v>60000</v>
      </c>
      <c r="J56" s="65">
        <v>54545.45</v>
      </c>
      <c r="K56" s="64"/>
      <c r="L56" s="64"/>
      <c r="M56" s="64"/>
      <c r="N56" s="64"/>
      <c r="O56" s="82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1"/>
      <c r="AC56" s="117">
        <v>54545.45</v>
      </c>
      <c r="AD56" s="117">
        <v>0</v>
      </c>
    </row>
    <row r="57" spans="1:30" ht="20.149999999999999" customHeight="1">
      <c r="A57" t="s">
        <v>743</v>
      </c>
      <c r="B57" s="61" t="s">
        <v>290</v>
      </c>
      <c r="C57" s="108" t="s">
        <v>241</v>
      </c>
      <c r="D57" s="108" t="s">
        <v>242</v>
      </c>
      <c r="E57" s="108">
        <v>5500</v>
      </c>
      <c r="F57" s="108">
        <v>60500</v>
      </c>
      <c r="G57" s="108">
        <v>55000</v>
      </c>
      <c r="H57" s="108" t="s">
        <v>8</v>
      </c>
      <c r="I57" s="111">
        <v>60500</v>
      </c>
      <c r="J57" s="65"/>
      <c r="K57" s="65"/>
      <c r="L57" s="65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1"/>
      <c r="AC57" s="117">
        <v>0</v>
      </c>
      <c r="AD57" s="117">
        <v>-55000</v>
      </c>
    </row>
    <row r="58" spans="1:30" ht="20.149999999999999" customHeight="1">
      <c r="A58" t="s">
        <v>743</v>
      </c>
      <c r="B58" s="61" t="s">
        <v>311</v>
      </c>
      <c r="C58" s="108" t="s">
        <v>318</v>
      </c>
      <c r="D58" s="108" t="s">
        <v>319</v>
      </c>
      <c r="E58" s="108">
        <v>5681.818182</v>
      </c>
      <c r="F58" s="108">
        <v>62500</v>
      </c>
      <c r="G58" s="108">
        <v>56818.181817999997</v>
      </c>
      <c r="H58" s="108" t="s">
        <v>8</v>
      </c>
      <c r="I58" s="111">
        <v>62500</v>
      </c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1"/>
      <c r="AC58" s="117">
        <v>0</v>
      </c>
      <c r="AD58" s="117">
        <v>-56818.181817999997</v>
      </c>
    </row>
    <row r="59" spans="1:30" ht="20.149999999999999" customHeight="1">
      <c r="A59" t="s">
        <v>743</v>
      </c>
      <c r="B59" s="61" t="s">
        <v>240</v>
      </c>
      <c r="C59" s="108" t="s">
        <v>247</v>
      </c>
      <c r="D59" s="108" t="s">
        <v>248</v>
      </c>
      <c r="E59" s="108">
        <v>6102.73</v>
      </c>
      <c r="F59" s="108">
        <v>67130</v>
      </c>
      <c r="G59" s="108">
        <v>61027.270000000004</v>
      </c>
      <c r="H59" s="108" t="s">
        <v>8</v>
      </c>
      <c r="I59" s="111">
        <v>67130</v>
      </c>
      <c r="J59" s="64"/>
      <c r="K59" s="64"/>
      <c r="L59" s="65">
        <v>67130</v>
      </c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1"/>
      <c r="AC59" s="117">
        <v>67130</v>
      </c>
      <c r="AD59" s="117">
        <v>6102.7299999999959</v>
      </c>
    </row>
    <row r="60" spans="1:30" ht="20.149999999999999" customHeight="1">
      <c r="A60" t="s">
        <v>743</v>
      </c>
      <c r="B60" s="61" t="s">
        <v>338</v>
      </c>
      <c r="C60" s="108" t="s">
        <v>97</v>
      </c>
      <c r="D60" s="108" t="s">
        <v>98</v>
      </c>
      <c r="E60" s="108">
        <v>6363.64</v>
      </c>
      <c r="F60" s="108">
        <v>70000</v>
      </c>
      <c r="G60" s="108">
        <v>63636.36</v>
      </c>
      <c r="H60" s="108" t="s">
        <v>8</v>
      </c>
      <c r="I60" s="111">
        <v>70000</v>
      </c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1"/>
      <c r="AC60" s="117">
        <v>0</v>
      </c>
      <c r="AD60" s="117">
        <v>-63636.36</v>
      </c>
    </row>
    <row r="61" spans="1:30" ht="20.149999999999999" customHeight="1">
      <c r="A61" t="s">
        <v>743</v>
      </c>
      <c r="B61" s="61" t="s">
        <v>338</v>
      </c>
      <c r="C61" s="108" t="s">
        <v>249</v>
      </c>
      <c r="D61" s="108" t="s">
        <v>250</v>
      </c>
      <c r="E61" s="108">
        <v>6500</v>
      </c>
      <c r="F61" s="108">
        <v>71500</v>
      </c>
      <c r="G61" s="108">
        <v>65000</v>
      </c>
      <c r="H61" s="108" t="s">
        <v>8</v>
      </c>
      <c r="I61" s="111">
        <v>71500</v>
      </c>
      <c r="J61" s="64"/>
      <c r="K61" s="64"/>
      <c r="L61" s="64"/>
      <c r="M61" s="64"/>
      <c r="N61" s="64"/>
      <c r="O61" s="64"/>
      <c r="P61" s="65">
        <v>65000</v>
      </c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1"/>
      <c r="AC61" s="117">
        <v>65000</v>
      </c>
      <c r="AD61" s="117">
        <v>0</v>
      </c>
    </row>
    <row r="62" spans="1:30" ht="20.149999999999999" customHeight="1">
      <c r="B62" s="90"/>
      <c r="C62" s="91" t="s">
        <v>662</v>
      </c>
      <c r="D62" s="91" t="s">
        <v>663</v>
      </c>
      <c r="E62" s="91" t="s">
        <v>664</v>
      </c>
      <c r="F62" s="91" t="s">
        <v>665</v>
      </c>
      <c r="G62" s="91">
        <v>1</v>
      </c>
      <c r="H62" s="91" t="s">
        <v>515</v>
      </c>
      <c r="I62" s="102">
        <v>76486</v>
      </c>
      <c r="J62" s="84"/>
      <c r="K62" s="84"/>
      <c r="L62" s="92"/>
      <c r="M62" s="84"/>
      <c r="N62" s="92"/>
      <c r="O62" s="84"/>
      <c r="P62" s="84"/>
      <c r="Q62" s="92"/>
      <c r="R62" s="92"/>
      <c r="S62" s="92"/>
      <c r="T62" s="84"/>
      <c r="U62" s="93"/>
      <c r="V62" s="84"/>
      <c r="W62" s="92"/>
      <c r="X62" s="92"/>
      <c r="Y62" s="92"/>
      <c r="Z62" s="92"/>
      <c r="AA62" s="92"/>
    </row>
    <row r="63" spans="1:30" ht="20.149999999999999" customHeight="1">
      <c r="B63" s="90"/>
      <c r="C63" s="91" t="s">
        <v>658</v>
      </c>
      <c r="D63" s="91" t="s">
        <v>659</v>
      </c>
      <c r="E63" s="91" t="s">
        <v>660</v>
      </c>
      <c r="F63" s="91" t="s">
        <v>661</v>
      </c>
      <c r="G63" s="91">
        <v>1</v>
      </c>
      <c r="H63" s="91" t="s">
        <v>515</v>
      </c>
      <c r="I63" s="102">
        <v>76800</v>
      </c>
      <c r="J63" s="84"/>
      <c r="K63" s="84"/>
      <c r="L63" s="92"/>
      <c r="M63" s="84"/>
      <c r="N63" s="92"/>
      <c r="O63" s="84"/>
      <c r="P63" s="84"/>
      <c r="Q63" s="92">
        <v>76800</v>
      </c>
      <c r="R63" s="92"/>
      <c r="S63" s="92"/>
      <c r="T63" s="84"/>
      <c r="U63" s="93"/>
      <c r="V63" s="84"/>
      <c r="W63" s="92"/>
      <c r="X63" s="92"/>
      <c r="Y63" s="92"/>
      <c r="Z63" s="92"/>
      <c r="AA63" s="92"/>
    </row>
    <row r="64" spans="1:30" ht="20.149999999999999" customHeight="1">
      <c r="A64" t="s">
        <v>743</v>
      </c>
      <c r="B64" s="61" t="s">
        <v>268</v>
      </c>
      <c r="C64" s="108" t="s">
        <v>156</v>
      </c>
      <c r="D64" s="108" t="s">
        <v>157</v>
      </c>
      <c r="E64" s="108">
        <v>6981.82</v>
      </c>
      <c r="F64" s="108">
        <v>76800</v>
      </c>
      <c r="G64" s="108">
        <v>69818.179999999993</v>
      </c>
      <c r="H64" s="108" t="s">
        <v>8</v>
      </c>
      <c r="I64" s="111">
        <v>76800</v>
      </c>
      <c r="J64" s="65">
        <v>69818.179999999993</v>
      </c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1"/>
      <c r="AC64" s="117">
        <v>69818.179999999993</v>
      </c>
      <c r="AD64" s="117">
        <v>0</v>
      </c>
    </row>
    <row r="65" spans="1:30" ht="20.149999999999999" customHeight="1">
      <c r="B65" s="90"/>
      <c r="C65" s="91" t="s">
        <v>676</v>
      </c>
      <c r="D65" s="91" t="s">
        <v>677</v>
      </c>
      <c r="E65" s="91" t="s">
        <v>678</v>
      </c>
      <c r="F65" s="91" t="s">
        <v>679</v>
      </c>
      <c r="G65" s="91">
        <v>1</v>
      </c>
      <c r="H65" s="91" t="s">
        <v>515</v>
      </c>
      <c r="I65" s="102">
        <v>80000</v>
      </c>
      <c r="J65" s="84"/>
      <c r="K65" s="84"/>
      <c r="L65" s="92"/>
      <c r="M65" s="84"/>
      <c r="N65" s="92"/>
      <c r="O65" s="84"/>
      <c r="P65" s="84">
        <v>80000</v>
      </c>
      <c r="Q65" s="92"/>
      <c r="R65" s="92"/>
      <c r="S65" s="92"/>
      <c r="T65" s="84"/>
      <c r="U65" s="93"/>
      <c r="V65" s="84"/>
      <c r="W65" s="92"/>
      <c r="X65" s="92"/>
      <c r="Y65" s="92"/>
      <c r="Z65" s="92"/>
      <c r="AA65" s="92"/>
    </row>
    <row r="66" spans="1:30">
      <c r="A66" t="s">
        <v>743</v>
      </c>
      <c r="B66" s="64" t="s">
        <v>292</v>
      </c>
      <c r="C66" s="64" t="s">
        <v>116</v>
      </c>
      <c r="D66" s="64" t="s">
        <v>117</v>
      </c>
      <c r="E66" s="64">
        <v>0</v>
      </c>
      <c r="F66" s="64">
        <v>80000</v>
      </c>
      <c r="G66" s="64">
        <v>80000</v>
      </c>
      <c r="H66" s="64" t="s">
        <v>55</v>
      </c>
      <c r="I66" s="81">
        <v>80000</v>
      </c>
      <c r="J66" s="64"/>
      <c r="K66" s="64"/>
      <c r="L66" s="65">
        <v>80000</v>
      </c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49">
        <v>80000</v>
      </c>
      <c r="AD66" s="49">
        <v>0</v>
      </c>
    </row>
    <row r="67" spans="1:30">
      <c r="A67" t="s">
        <v>743</v>
      </c>
      <c r="B67" s="64" t="s">
        <v>338</v>
      </c>
      <c r="C67" s="64" t="s">
        <v>103</v>
      </c>
      <c r="D67" s="64" t="s">
        <v>104</v>
      </c>
      <c r="E67" s="64">
        <v>7347.24</v>
      </c>
      <c r="F67" s="64">
        <v>80900</v>
      </c>
      <c r="G67" s="64">
        <v>73552.759999999995</v>
      </c>
      <c r="H67" s="64" t="s">
        <v>8</v>
      </c>
      <c r="I67" s="81">
        <v>80900</v>
      </c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49">
        <v>0</v>
      </c>
      <c r="AD67" s="49">
        <v>-73552.759999999995</v>
      </c>
    </row>
    <row r="68" spans="1:30">
      <c r="A68" t="s">
        <v>743</v>
      </c>
      <c r="B68" s="64" t="s">
        <v>342</v>
      </c>
      <c r="C68" s="64" t="s">
        <v>10</v>
      </c>
      <c r="D68" s="64" t="s">
        <v>11</v>
      </c>
      <c r="E68" s="64">
        <v>7386.73</v>
      </c>
      <c r="F68" s="64">
        <v>81254</v>
      </c>
      <c r="G68" s="64">
        <v>73867.27</v>
      </c>
      <c r="H68" s="64" t="s">
        <v>8</v>
      </c>
      <c r="I68" s="81">
        <v>81254</v>
      </c>
      <c r="J68" s="65">
        <v>73867.27</v>
      </c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49">
        <v>73867.27</v>
      </c>
      <c r="AD68" s="49">
        <v>0</v>
      </c>
    </row>
    <row r="69" spans="1:30">
      <c r="A69" t="s">
        <v>743</v>
      </c>
      <c r="B69" s="64" t="s">
        <v>326</v>
      </c>
      <c r="C69" s="64" t="s">
        <v>316</v>
      </c>
      <c r="D69" s="64" t="s">
        <v>317</v>
      </c>
      <c r="E69" s="64">
        <v>7681.82</v>
      </c>
      <c r="F69" s="64">
        <v>84500</v>
      </c>
      <c r="G69" s="64">
        <v>76818.179999999993</v>
      </c>
      <c r="H69" s="64" t="s">
        <v>8</v>
      </c>
      <c r="I69" s="81">
        <v>84500</v>
      </c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49">
        <v>0</v>
      </c>
      <c r="AD69" s="49">
        <v>-76818.179999999993</v>
      </c>
    </row>
    <row r="70" spans="1:30">
      <c r="A70" t="s">
        <v>743</v>
      </c>
      <c r="B70" s="64" t="s">
        <v>295</v>
      </c>
      <c r="C70" s="64" t="s">
        <v>296</v>
      </c>
      <c r="D70" s="64" t="s">
        <v>297</v>
      </c>
      <c r="E70" s="64">
        <v>7981.818182</v>
      </c>
      <c r="F70" s="64">
        <v>87800</v>
      </c>
      <c r="G70" s="64">
        <v>79818.181817999997</v>
      </c>
      <c r="H70" s="64" t="s">
        <v>8</v>
      </c>
      <c r="I70" s="81">
        <v>87800</v>
      </c>
      <c r="J70" s="64"/>
      <c r="K70" s="64"/>
      <c r="L70" s="82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49">
        <v>0</v>
      </c>
      <c r="AD70" s="49">
        <v>-79818.181817999997</v>
      </c>
    </row>
    <row r="71" spans="1:30">
      <c r="B71" s="105"/>
      <c r="C71" s="107" t="s">
        <v>711</v>
      </c>
      <c r="D71" s="107" t="s">
        <v>712</v>
      </c>
      <c r="E71" s="107" t="s">
        <v>588</v>
      </c>
      <c r="F71" s="107" t="s">
        <v>589</v>
      </c>
      <c r="G71" s="107">
        <v>1</v>
      </c>
      <c r="H71" s="107" t="s">
        <v>515</v>
      </c>
      <c r="I71" s="112">
        <v>90800</v>
      </c>
      <c r="J71" s="84"/>
      <c r="K71" s="84"/>
      <c r="L71" s="92"/>
      <c r="M71" s="84"/>
      <c r="N71" s="92"/>
      <c r="O71" s="84"/>
      <c r="P71" s="84"/>
      <c r="Q71" s="92">
        <v>90800</v>
      </c>
      <c r="R71" s="92"/>
      <c r="S71" s="92"/>
      <c r="T71" s="84"/>
      <c r="U71" s="93"/>
      <c r="V71" s="84"/>
      <c r="W71" s="92"/>
      <c r="X71" s="92"/>
      <c r="Y71" s="92"/>
      <c r="Z71" s="92"/>
      <c r="AA71" s="92"/>
      <c r="AB71" s="84"/>
      <c r="AC71" s="84"/>
      <c r="AD71" s="84"/>
    </row>
    <row r="72" spans="1:30">
      <c r="A72" t="s">
        <v>743</v>
      </c>
      <c r="B72" s="64" t="s">
        <v>311</v>
      </c>
      <c r="C72" s="64" t="s">
        <v>316</v>
      </c>
      <c r="D72" s="64" t="s">
        <v>317</v>
      </c>
      <c r="E72" s="64">
        <v>8509.09</v>
      </c>
      <c r="F72" s="64">
        <v>93600</v>
      </c>
      <c r="G72" s="64">
        <v>85090.91</v>
      </c>
      <c r="H72" s="64" t="s">
        <v>8</v>
      </c>
      <c r="I72" s="81">
        <v>93600</v>
      </c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49">
        <v>0</v>
      </c>
      <c r="AD72" s="49">
        <v>-85090.91</v>
      </c>
    </row>
    <row r="73" spans="1:30">
      <c r="A73" t="s">
        <v>743</v>
      </c>
      <c r="B73" s="64" t="s">
        <v>310</v>
      </c>
      <c r="C73" s="64" t="s">
        <v>149</v>
      </c>
      <c r="D73" s="64" t="s">
        <v>150</v>
      </c>
      <c r="E73" s="64">
        <v>8675.1623380000001</v>
      </c>
      <c r="F73" s="64">
        <v>95600</v>
      </c>
      <c r="G73" s="64">
        <v>86924.837662000005</v>
      </c>
      <c r="H73" s="64" t="s">
        <v>8</v>
      </c>
      <c r="I73" s="81">
        <v>95600</v>
      </c>
      <c r="J73" s="64"/>
      <c r="K73" s="64"/>
      <c r="L73" s="65">
        <v>86924.837662000005</v>
      </c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49">
        <v>86924.837662000005</v>
      </c>
      <c r="AD73" s="49">
        <v>0</v>
      </c>
    </row>
    <row r="74" spans="1:30">
      <c r="A74" t="s">
        <v>743</v>
      </c>
      <c r="B74" s="64" t="s">
        <v>302</v>
      </c>
      <c r="C74" s="64" t="s">
        <v>116</v>
      </c>
      <c r="D74" s="64" t="s">
        <v>117</v>
      </c>
      <c r="E74" s="64">
        <v>0</v>
      </c>
      <c r="F74" s="64">
        <v>99000</v>
      </c>
      <c r="G74" s="64">
        <v>99000</v>
      </c>
      <c r="H74" s="64" t="s">
        <v>55</v>
      </c>
      <c r="I74" s="81">
        <v>99000</v>
      </c>
      <c r="J74" s="65">
        <v>99000</v>
      </c>
      <c r="K74" s="64"/>
      <c r="L74" s="64"/>
      <c r="M74" s="64"/>
      <c r="N74" s="82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49">
        <v>99000</v>
      </c>
      <c r="AD74" s="49">
        <v>0</v>
      </c>
    </row>
    <row r="75" spans="1:30">
      <c r="B75" s="105"/>
      <c r="C75" s="107" t="s">
        <v>590</v>
      </c>
      <c r="D75" s="110" t="s">
        <v>591</v>
      </c>
      <c r="E75" s="110" t="s">
        <v>576</v>
      </c>
      <c r="F75" s="110" t="s">
        <v>577</v>
      </c>
      <c r="G75" s="110">
        <v>1</v>
      </c>
      <c r="H75" s="110" t="s">
        <v>515</v>
      </c>
      <c r="I75" s="113">
        <v>100000</v>
      </c>
      <c r="J75" s="84"/>
      <c r="K75" s="84"/>
      <c r="L75" s="92"/>
      <c r="M75" s="84"/>
      <c r="N75" s="92"/>
      <c r="O75" s="84"/>
      <c r="P75" s="84"/>
      <c r="Q75" s="92"/>
      <c r="R75" s="92"/>
      <c r="S75" s="92"/>
      <c r="T75" s="84"/>
      <c r="U75" s="93"/>
      <c r="V75" s="84"/>
      <c r="W75" s="92"/>
      <c r="X75" s="92"/>
      <c r="Y75" s="92"/>
      <c r="Z75" s="92"/>
      <c r="AA75" s="92"/>
      <c r="AB75" s="84"/>
      <c r="AC75" s="84"/>
      <c r="AD75" s="84"/>
    </row>
    <row r="76" spans="1:30">
      <c r="B76" s="105"/>
      <c r="C76" s="107" t="s">
        <v>600</v>
      </c>
      <c r="D76" s="110" t="s">
        <v>601</v>
      </c>
      <c r="E76" s="110" t="s">
        <v>598</v>
      </c>
      <c r="F76" s="110" t="s">
        <v>599</v>
      </c>
      <c r="G76" s="110">
        <v>1</v>
      </c>
      <c r="H76" s="110" t="s">
        <v>515</v>
      </c>
      <c r="I76" s="113">
        <v>100000</v>
      </c>
      <c r="J76" s="84"/>
      <c r="K76" s="84"/>
      <c r="L76" s="92"/>
      <c r="M76" s="84"/>
      <c r="N76" s="92"/>
      <c r="O76" s="84"/>
      <c r="P76" s="84"/>
      <c r="Q76" s="92"/>
      <c r="R76" s="92"/>
      <c r="S76" s="92"/>
      <c r="T76" s="84"/>
      <c r="U76" s="93"/>
      <c r="V76" s="92"/>
      <c r="W76" s="92"/>
      <c r="X76" s="92"/>
      <c r="Y76" s="92"/>
      <c r="Z76" s="92"/>
      <c r="AA76" s="92"/>
      <c r="AB76" s="84"/>
      <c r="AC76" s="84"/>
      <c r="AD76" s="84"/>
    </row>
    <row r="77" spans="1:30">
      <c r="B77" s="105"/>
      <c r="C77" s="107" t="s">
        <v>715</v>
      </c>
      <c r="D77" s="107" t="s">
        <v>716</v>
      </c>
      <c r="E77" s="107" t="s">
        <v>598</v>
      </c>
      <c r="F77" s="107" t="s">
        <v>599</v>
      </c>
      <c r="G77" s="107">
        <v>1</v>
      </c>
      <c r="H77" s="107" t="s">
        <v>515</v>
      </c>
      <c r="I77" s="112">
        <v>100000</v>
      </c>
      <c r="J77" s="84">
        <v>100000</v>
      </c>
      <c r="K77" s="84"/>
      <c r="L77" s="92"/>
      <c r="M77" s="84"/>
      <c r="N77" s="92"/>
      <c r="O77" s="84"/>
      <c r="P77" s="84"/>
      <c r="Q77" s="92"/>
      <c r="R77" s="92"/>
      <c r="S77" s="92"/>
      <c r="T77" s="84"/>
      <c r="U77" s="93"/>
      <c r="V77" s="92"/>
      <c r="W77" s="92"/>
      <c r="X77" s="92"/>
      <c r="Y77" s="92"/>
      <c r="Z77" s="92"/>
      <c r="AA77" s="92"/>
      <c r="AB77" s="84"/>
      <c r="AC77" s="84"/>
      <c r="AD77" s="84"/>
    </row>
    <row r="78" spans="1:30">
      <c r="A78" t="s">
        <v>743</v>
      </c>
      <c r="B78" s="64" t="s">
        <v>278</v>
      </c>
      <c r="C78" s="64" t="s">
        <v>279</v>
      </c>
      <c r="D78" s="64" t="s">
        <v>280</v>
      </c>
      <c r="E78" s="64">
        <v>9090.91</v>
      </c>
      <c r="F78" s="64">
        <v>100000</v>
      </c>
      <c r="G78" s="64">
        <v>90909.09</v>
      </c>
      <c r="H78" s="64" t="s">
        <v>8</v>
      </c>
      <c r="I78" s="81">
        <v>100000</v>
      </c>
      <c r="J78" s="82">
        <v>90909.09</v>
      </c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49">
        <v>90909.09</v>
      </c>
      <c r="AD78" s="49">
        <v>0</v>
      </c>
    </row>
    <row r="79" spans="1:30">
      <c r="A79" t="s">
        <v>743</v>
      </c>
      <c r="B79" s="64" t="s">
        <v>282</v>
      </c>
      <c r="C79" s="64" t="s">
        <v>283</v>
      </c>
      <c r="D79" s="64" t="s">
        <v>284</v>
      </c>
      <c r="E79" s="64">
        <v>9090.91</v>
      </c>
      <c r="F79" s="64">
        <v>100000</v>
      </c>
      <c r="G79" s="64">
        <v>90909.09</v>
      </c>
      <c r="H79" s="64" t="s">
        <v>8</v>
      </c>
      <c r="I79" s="81">
        <v>100000</v>
      </c>
      <c r="J79" s="65">
        <v>90909.09</v>
      </c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49">
        <v>90909.09</v>
      </c>
      <c r="AD79" s="49">
        <v>0</v>
      </c>
    </row>
    <row r="80" spans="1:30">
      <c r="A80" t="s">
        <v>743</v>
      </c>
      <c r="B80" s="64" t="s">
        <v>290</v>
      </c>
      <c r="C80" s="64" t="s">
        <v>87</v>
      </c>
      <c r="D80" s="64" t="s">
        <v>88</v>
      </c>
      <c r="E80" s="64">
        <v>9090.91</v>
      </c>
      <c r="F80" s="64">
        <v>100000</v>
      </c>
      <c r="G80" s="64">
        <v>90909.09</v>
      </c>
      <c r="H80" s="64" t="s">
        <v>8</v>
      </c>
      <c r="I80" s="81">
        <v>100000</v>
      </c>
      <c r="J80" s="82">
        <v>90909.09</v>
      </c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49">
        <v>90909.09</v>
      </c>
      <c r="AD80" s="49">
        <v>0</v>
      </c>
    </row>
    <row r="81" spans="1:30">
      <c r="A81" t="s">
        <v>743</v>
      </c>
      <c r="B81" s="64" t="s">
        <v>310</v>
      </c>
      <c r="C81" s="64" t="s">
        <v>156</v>
      </c>
      <c r="D81" s="64" t="s">
        <v>157</v>
      </c>
      <c r="E81" s="64">
        <v>9090.91</v>
      </c>
      <c r="F81" s="64">
        <v>100000</v>
      </c>
      <c r="G81" s="64">
        <v>90909.09</v>
      </c>
      <c r="H81" s="64" t="s">
        <v>8</v>
      </c>
      <c r="I81" s="81">
        <v>100000</v>
      </c>
      <c r="J81" s="65">
        <v>90909.09</v>
      </c>
      <c r="K81" s="64"/>
      <c r="L81" s="64"/>
      <c r="M81" s="64"/>
      <c r="N81" s="65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49">
        <v>90909.09</v>
      </c>
      <c r="AD81" s="49">
        <v>0</v>
      </c>
    </row>
    <row r="82" spans="1:30">
      <c r="A82" t="s">
        <v>743</v>
      </c>
      <c r="B82" s="64" t="s">
        <v>310</v>
      </c>
      <c r="C82" s="64" t="s">
        <v>156</v>
      </c>
      <c r="D82" s="64" t="s">
        <v>157</v>
      </c>
      <c r="E82" s="64">
        <v>9090.91</v>
      </c>
      <c r="F82" s="64">
        <v>100000</v>
      </c>
      <c r="G82" s="64">
        <v>90909.09</v>
      </c>
      <c r="H82" s="64" t="s">
        <v>8</v>
      </c>
      <c r="I82" s="81">
        <v>100000</v>
      </c>
      <c r="J82" s="65">
        <v>90909.09</v>
      </c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49">
        <v>90909.09</v>
      </c>
      <c r="AD82" s="49">
        <v>0</v>
      </c>
    </row>
    <row r="83" spans="1:30">
      <c r="A83" t="s">
        <v>743</v>
      </c>
      <c r="B83" s="64" t="s">
        <v>311</v>
      </c>
      <c r="C83" s="64" t="s">
        <v>316</v>
      </c>
      <c r="D83" s="64" t="s">
        <v>317</v>
      </c>
      <c r="E83" s="64">
        <v>9381.82</v>
      </c>
      <c r="F83" s="64">
        <v>103200</v>
      </c>
      <c r="G83" s="64">
        <v>93818.18</v>
      </c>
      <c r="H83" s="64" t="s">
        <v>8</v>
      </c>
      <c r="I83" s="81">
        <v>103200</v>
      </c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49">
        <v>0</v>
      </c>
      <c r="AD83" s="49">
        <v>-93818.18</v>
      </c>
    </row>
    <row r="84" spans="1:30">
      <c r="A84" t="s">
        <v>743</v>
      </c>
      <c r="B84" s="64" t="s">
        <v>281</v>
      </c>
      <c r="C84" s="64" t="s">
        <v>78</v>
      </c>
      <c r="D84" s="64" t="s">
        <v>79</v>
      </c>
      <c r="E84" s="64">
        <v>9445.4500000000007</v>
      </c>
      <c r="F84" s="64">
        <v>103900</v>
      </c>
      <c r="G84" s="64">
        <v>94454.55</v>
      </c>
      <c r="H84" s="64" t="s">
        <v>8</v>
      </c>
      <c r="I84" s="81">
        <v>103900</v>
      </c>
      <c r="J84" s="82"/>
      <c r="K84" s="64"/>
      <c r="L84" s="65">
        <v>94454.55</v>
      </c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49">
        <v>94454.55</v>
      </c>
      <c r="AD84" s="49">
        <v>0</v>
      </c>
    </row>
    <row r="85" spans="1:30">
      <c r="A85" t="s">
        <v>743</v>
      </c>
      <c r="B85" s="64" t="s">
        <v>295</v>
      </c>
      <c r="C85" s="64" t="s">
        <v>298</v>
      </c>
      <c r="D85" s="64" t="s">
        <v>299</v>
      </c>
      <c r="E85" s="64">
        <v>10309.91</v>
      </c>
      <c r="F85" s="64">
        <v>113409</v>
      </c>
      <c r="G85" s="64">
        <v>103099.09</v>
      </c>
      <c r="H85" s="64" t="s">
        <v>8</v>
      </c>
      <c r="I85" s="81">
        <v>113409</v>
      </c>
      <c r="J85" s="65">
        <v>103099.09</v>
      </c>
      <c r="K85" s="64"/>
      <c r="L85" s="82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49">
        <v>103099.09</v>
      </c>
      <c r="AD85" s="49">
        <v>0</v>
      </c>
    </row>
    <row r="86" spans="1:30">
      <c r="B86" s="105"/>
      <c r="C86" s="107" t="s">
        <v>578</v>
      </c>
      <c r="D86" s="107" t="s">
        <v>579</v>
      </c>
      <c r="E86" s="107" t="s">
        <v>580</v>
      </c>
      <c r="F86" s="107" t="s">
        <v>581</v>
      </c>
      <c r="G86" s="107">
        <v>1</v>
      </c>
      <c r="H86" s="107" t="s">
        <v>515</v>
      </c>
      <c r="I86" s="112">
        <v>120000</v>
      </c>
      <c r="J86" s="84">
        <v>120000</v>
      </c>
      <c r="K86" s="84"/>
      <c r="L86" s="92"/>
      <c r="M86" s="84"/>
      <c r="N86" s="92"/>
      <c r="O86" s="84"/>
      <c r="P86" s="84"/>
      <c r="Q86" s="92"/>
      <c r="R86" s="92"/>
      <c r="S86" s="92"/>
      <c r="T86" s="84"/>
      <c r="U86" s="93"/>
      <c r="V86" s="84"/>
      <c r="W86" s="92"/>
      <c r="X86" s="92"/>
      <c r="Y86" s="92"/>
      <c r="Z86" s="92"/>
      <c r="AA86" s="92"/>
      <c r="AB86" s="84"/>
      <c r="AC86" s="84"/>
      <c r="AD86" s="84"/>
    </row>
    <row r="87" spans="1:30">
      <c r="A87" t="s">
        <v>743</v>
      </c>
      <c r="B87" s="64" t="s">
        <v>281</v>
      </c>
      <c r="C87" s="64" t="s">
        <v>241</v>
      </c>
      <c r="D87" s="64" t="s">
        <v>242</v>
      </c>
      <c r="E87" s="64">
        <v>11200</v>
      </c>
      <c r="F87" s="64">
        <v>123200</v>
      </c>
      <c r="G87" s="64">
        <v>112000</v>
      </c>
      <c r="H87" s="64" t="s">
        <v>8</v>
      </c>
      <c r="I87" s="81">
        <v>123200</v>
      </c>
      <c r="J87" s="64"/>
      <c r="K87" s="64"/>
      <c r="L87" s="64"/>
      <c r="M87" s="64"/>
      <c r="N87" s="64"/>
      <c r="O87" s="82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49">
        <v>0</v>
      </c>
      <c r="AD87" s="49">
        <v>-112000</v>
      </c>
    </row>
    <row r="88" spans="1:30">
      <c r="A88" t="s">
        <v>743</v>
      </c>
      <c r="B88" s="64" t="s">
        <v>338</v>
      </c>
      <c r="C88" s="64" t="s">
        <v>89</v>
      </c>
      <c r="D88" s="64" t="s">
        <v>90</v>
      </c>
      <c r="E88" s="64">
        <v>11232.142857000001</v>
      </c>
      <c r="F88" s="64">
        <v>125800</v>
      </c>
      <c r="G88" s="64">
        <v>114567.857143</v>
      </c>
      <c r="H88" s="64" t="s">
        <v>8</v>
      </c>
      <c r="I88" s="81">
        <v>125800</v>
      </c>
      <c r="J88" s="65">
        <v>114567.857143</v>
      </c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49">
        <v>114567.857143</v>
      </c>
      <c r="AD88" s="49">
        <v>0</v>
      </c>
    </row>
    <row r="89" spans="1:30">
      <c r="A89" t="s">
        <v>743</v>
      </c>
      <c r="B89" s="64" t="s">
        <v>306</v>
      </c>
      <c r="C89" s="64" t="s">
        <v>287</v>
      </c>
      <c r="D89" s="64" t="s">
        <v>288</v>
      </c>
      <c r="E89" s="64">
        <v>11527.27</v>
      </c>
      <c r="F89" s="64">
        <v>126800</v>
      </c>
      <c r="G89" s="64">
        <v>115272.73</v>
      </c>
      <c r="H89" s="64" t="s">
        <v>8</v>
      </c>
      <c r="I89" s="81">
        <v>126800</v>
      </c>
      <c r="J89" s="65"/>
      <c r="K89" s="64"/>
      <c r="L89" s="82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49">
        <v>0</v>
      </c>
      <c r="AD89" s="49">
        <v>-115272.73</v>
      </c>
    </row>
    <row r="90" spans="1:30">
      <c r="B90" s="105"/>
      <c r="C90" s="107" t="s">
        <v>638</v>
      </c>
      <c r="D90" s="107" t="s">
        <v>639</v>
      </c>
      <c r="E90" s="107" t="s">
        <v>640</v>
      </c>
      <c r="F90" s="107" t="s">
        <v>641</v>
      </c>
      <c r="G90" s="107">
        <v>1</v>
      </c>
      <c r="H90" s="107" t="s">
        <v>515</v>
      </c>
      <c r="I90" s="112">
        <v>134100</v>
      </c>
      <c r="J90" s="84"/>
      <c r="K90" s="84"/>
      <c r="L90" s="92"/>
      <c r="M90" s="84"/>
      <c r="N90" s="92">
        <v>134100</v>
      </c>
      <c r="O90" s="84"/>
      <c r="P90" s="84"/>
      <c r="Q90" s="92"/>
      <c r="R90" s="92"/>
      <c r="S90" s="92"/>
      <c r="T90" s="84"/>
      <c r="U90" s="93"/>
      <c r="V90" s="84"/>
      <c r="W90" s="92"/>
      <c r="X90" s="92"/>
      <c r="Y90" s="92"/>
      <c r="Z90" s="92"/>
      <c r="AA90" s="92"/>
      <c r="AB90" s="84"/>
      <c r="AC90" s="84"/>
      <c r="AD90" s="84"/>
    </row>
    <row r="91" spans="1:30">
      <c r="B91" s="105"/>
      <c r="C91" s="107" t="s">
        <v>717</v>
      </c>
      <c r="D91" s="107" t="s">
        <v>718</v>
      </c>
      <c r="E91" s="107" t="s">
        <v>719</v>
      </c>
      <c r="F91" s="107" t="s">
        <v>720</v>
      </c>
      <c r="G91" s="107">
        <v>1</v>
      </c>
      <c r="H91" s="107" t="s">
        <v>515</v>
      </c>
      <c r="I91" s="112">
        <v>144700</v>
      </c>
      <c r="J91" s="84"/>
      <c r="K91" s="84"/>
      <c r="L91" s="92">
        <v>144700</v>
      </c>
      <c r="M91" s="84"/>
      <c r="N91" s="92"/>
      <c r="O91" s="84"/>
      <c r="P91" s="84"/>
      <c r="Q91" s="92"/>
      <c r="R91" s="92"/>
      <c r="S91" s="92"/>
      <c r="T91" s="84"/>
      <c r="U91" s="93"/>
      <c r="V91" s="84"/>
      <c r="W91" s="92"/>
      <c r="X91" s="92"/>
      <c r="Y91" s="92"/>
      <c r="Z91" s="92"/>
      <c r="AA91" s="92"/>
      <c r="AB91" s="84"/>
      <c r="AC91" s="84"/>
      <c r="AD91" s="84"/>
    </row>
    <row r="92" spans="1:30">
      <c r="A92" t="s">
        <v>743</v>
      </c>
      <c r="B92" s="64" t="s">
        <v>268</v>
      </c>
      <c r="C92" s="64" t="s">
        <v>269</v>
      </c>
      <c r="D92" s="64" t="s">
        <v>270</v>
      </c>
      <c r="E92" s="64">
        <v>13473.21</v>
      </c>
      <c r="F92" s="64">
        <v>150900</v>
      </c>
      <c r="G92" s="64">
        <v>137426.79</v>
      </c>
      <c r="H92" s="64" t="s">
        <v>8</v>
      </c>
      <c r="I92" s="81">
        <v>150900</v>
      </c>
      <c r="J92" s="64"/>
      <c r="K92" s="82"/>
      <c r="L92" s="64"/>
      <c r="M92" s="64"/>
      <c r="N92" s="64"/>
      <c r="O92" s="64"/>
      <c r="P92" s="64"/>
      <c r="Q92" s="64"/>
      <c r="R92" s="65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49">
        <v>0</v>
      </c>
      <c r="AD92" s="49">
        <v>-137426.79</v>
      </c>
    </row>
    <row r="93" spans="1:30">
      <c r="A93" t="s">
        <v>743</v>
      </c>
      <c r="B93" s="64" t="s">
        <v>323</v>
      </c>
      <c r="C93" s="64" t="s">
        <v>324</v>
      </c>
      <c r="D93" s="64" t="s">
        <v>325</v>
      </c>
      <c r="E93" s="64">
        <v>13728.18</v>
      </c>
      <c r="F93" s="64">
        <v>151010</v>
      </c>
      <c r="G93" s="64">
        <v>137281.82</v>
      </c>
      <c r="H93" s="64" t="s">
        <v>8</v>
      </c>
      <c r="I93" s="81">
        <v>151010</v>
      </c>
      <c r="J93" s="65">
        <v>137281.82</v>
      </c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49">
        <v>137281.82</v>
      </c>
      <c r="AD93" s="49">
        <v>0</v>
      </c>
    </row>
    <row r="94" spans="1:30">
      <c r="A94" t="s">
        <v>743</v>
      </c>
      <c r="B94" s="64" t="s">
        <v>278</v>
      </c>
      <c r="C94" s="64" t="s">
        <v>64</v>
      </c>
      <c r="D94" s="64" t="s">
        <v>65</v>
      </c>
      <c r="E94" s="64">
        <v>0</v>
      </c>
      <c r="F94" s="64">
        <v>154899.82999999999</v>
      </c>
      <c r="G94" s="64">
        <v>154899.82999999999</v>
      </c>
      <c r="H94" s="64" t="s">
        <v>55</v>
      </c>
      <c r="I94" s="81">
        <v>154899.82999999999</v>
      </c>
      <c r="J94" s="82"/>
      <c r="K94" s="65">
        <v>154899.82999999999</v>
      </c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49">
        <v>154899.82999999999</v>
      </c>
      <c r="AD94" s="49">
        <v>0</v>
      </c>
    </row>
    <row r="95" spans="1:30">
      <c r="A95" t="s">
        <v>743</v>
      </c>
      <c r="B95" s="64" t="s">
        <v>268</v>
      </c>
      <c r="C95" s="64" t="s">
        <v>10</v>
      </c>
      <c r="D95" s="64" t="s">
        <v>11</v>
      </c>
      <c r="E95" s="64">
        <v>14121.91</v>
      </c>
      <c r="F95" s="64">
        <v>155341</v>
      </c>
      <c r="G95" s="64">
        <v>141219.09</v>
      </c>
      <c r="H95" s="64" t="s">
        <v>8</v>
      </c>
      <c r="I95" s="81">
        <v>155341</v>
      </c>
      <c r="J95" s="82">
        <v>141219.09</v>
      </c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49">
        <v>141219.09</v>
      </c>
      <c r="AD95" s="49">
        <v>0</v>
      </c>
    </row>
    <row r="96" spans="1:30">
      <c r="A96" t="s">
        <v>743</v>
      </c>
      <c r="B96" s="64" t="s">
        <v>326</v>
      </c>
      <c r="C96" s="64" t="s">
        <v>206</v>
      </c>
      <c r="D96" s="64" t="s">
        <v>207</v>
      </c>
      <c r="E96" s="64">
        <v>14295.45</v>
      </c>
      <c r="F96" s="64">
        <v>157250</v>
      </c>
      <c r="G96" s="64">
        <v>142954.54999999999</v>
      </c>
      <c r="H96" s="64" t="s">
        <v>8</v>
      </c>
      <c r="I96" s="81">
        <v>157250</v>
      </c>
      <c r="J96" s="65">
        <v>142954.54999999999</v>
      </c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49">
        <v>142954.54999999999</v>
      </c>
      <c r="AD96" s="49">
        <v>0</v>
      </c>
    </row>
    <row r="97" spans="1:30">
      <c r="A97" t="s">
        <v>743</v>
      </c>
      <c r="B97" s="64" t="s">
        <v>291</v>
      </c>
      <c r="C97" s="64" t="s">
        <v>87</v>
      </c>
      <c r="D97" s="64" t="s">
        <v>88</v>
      </c>
      <c r="E97" s="64">
        <v>14463.64</v>
      </c>
      <c r="F97" s="64">
        <v>159100</v>
      </c>
      <c r="G97" s="64">
        <v>144636.35999999999</v>
      </c>
      <c r="H97" s="64" t="s">
        <v>8</v>
      </c>
      <c r="I97" s="81">
        <v>159100</v>
      </c>
      <c r="J97" s="82">
        <v>144636.35999999999</v>
      </c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49">
        <v>144636.35999999999</v>
      </c>
      <c r="AD97" s="49">
        <v>0</v>
      </c>
    </row>
    <row r="98" spans="1:30">
      <c r="A98" t="s">
        <v>743</v>
      </c>
      <c r="B98" s="64" t="s">
        <v>292</v>
      </c>
      <c r="C98" s="64" t="s">
        <v>293</v>
      </c>
      <c r="D98" s="64" t="s">
        <v>294</v>
      </c>
      <c r="E98" s="64">
        <v>0</v>
      </c>
      <c r="F98" s="64">
        <v>160000</v>
      </c>
      <c r="G98" s="64">
        <v>160000</v>
      </c>
      <c r="H98" s="64" t="s">
        <v>8</v>
      </c>
      <c r="I98" s="81">
        <v>160000</v>
      </c>
      <c r="J98" s="64"/>
      <c r="K98" s="65"/>
      <c r="L98" s="82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49">
        <v>0</v>
      </c>
      <c r="AD98" s="49">
        <v>-160000</v>
      </c>
    </row>
    <row r="99" spans="1:30">
      <c r="B99" s="105"/>
      <c r="C99" s="110" t="s">
        <v>630</v>
      </c>
      <c r="D99" s="110" t="s">
        <v>631</v>
      </c>
      <c r="E99" s="110" t="s">
        <v>632</v>
      </c>
      <c r="F99" s="110" t="s">
        <v>633</v>
      </c>
      <c r="G99" s="110">
        <v>1</v>
      </c>
      <c r="H99" s="110" t="s">
        <v>515</v>
      </c>
      <c r="I99" s="113">
        <v>165000</v>
      </c>
      <c r="J99" s="84"/>
      <c r="K99" s="84"/>
      <c r="L99" s="92"/>
      <c r="M99" s="84"/>
      <c r="N99" s="92"/>
      <c r="O99" s="84"/>
      <c r="P99" s="84"/>
      <c r="Q99" s="92"/>
      <c r="R99" s="92"/>
      <c r="S99" s="92"/>
      <c r="T99" s="84"/>
      <c r="U99" s="93"/>
      <c r="V99" s="84"/>
      <c r="W99" s="92"/>
      <c r="X99" s="92"/>
      <c r="Y99" s="92"/>
      <c r="Z99" s="92"/>
      <c r="AA99" s="92"/>
      <c r="AB99" s="84"/>
      <c r="AC99" s="84"/>
      <c r="AD99" s="84"/>
    </row>
    <row r="100" spans="1:30">
      <c r="A100" t="s">
        <v>743</v>
      </c>
      <c r="B100" s="64" t="s">
        <v>275</v>
      </c>
      <c r="C100" s="64" t="s">
        <v>276</v>
      </c>
      <c r="D100" s="64" t="s">
        <v>277</v>
      </c>
      <c r="E100" s="64">
        <v>15000</v>
      </c>
      <c r="F100" s="64">
        <v>165000</v>
      </c>
      <c r="G100" s="64">
        <v>150000</v>
      </c>
      <c r="H100" s="64" t="s">
        <v>8</v>
      </c>
      <c r="I100" s="81">
        <v>165000</v>
      </c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49">
        <v>0</v>
      </c>
      <c r="AD100" s="49">
        <v>-150000</v>
      </c>
    </row>
    <row r="101" spans="1:30">
      <c r="A101" t="s">
        <v>743</v>
      </c>
      <c r="B101" s="64" t="s">
        <v>263</v>
      </c>
      <c r="C101" s="64" t="s">
        <v>264</v>
      </c>
      <c r="D101" s="64" t="s">
        <v>265</v>
      </c>
      <c r="E101" s="64">
        <v>16284.090909</v>
      </c>
      <c r="F101" s="64">
        <v>179125</v>
      </c>
      <c r="G101" s="64">
        <v>162840.90909100001</v>
      </c>
      <c r="H101" s="64" t="s">
        <v>8</v>
      </c>
      <c r="I101" s="81">
        <v>179125</v>
      </c>
      <c r="J101" s="65">
        <v>162840.90909100001</v>
      </c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49">
        <v>162840.90909100001</v>
      </c>
      <c r="AD101" s="49">
        <v>0</v>
      </c>
    </row>
    <row r="102" spans="1:30">
      <c r="A102" t="s">
        <v>743</v>
      </c>
      <c r="B102" s="64" t="s">
        <v>289</v>
      </c>
      <c r="C102" s="64" t="s">
        <v>99</v>
      </c>
      <c r="D102" s="64" t="s">
        <v>100</v>
      </c>
      <c r="E102" s="64">
        <v>16714.29</v>
      </c>
      <c r="F102" s="64">
        <v>187200</v>
      </c>
      <c r="G102" s="64">
        <v>170485.71</v>
      </c>
      <c r="H102" s="64" t="s">
        <v>8</v>
      </c>
      <c r="I102" s="81">
        <v>187200</v>
      </c>
      <c r="J102" s="82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49">
        <v>0</v>
      </c>
      <c r="AD102" s="49">
        <v>-170485.71</v>
      </c>
    </row>
    <row r="103" spans="1:30">
      <c r="B103" s="105"/>
      <c r="C103" s="107" t="s">
        <v>564</v>
      </c>
      <c r="D103" s="107" t="s">
        <v>565</v>
      </c>
      <c r="E103" s="107" t="s">
        <v>566</v>
      </c>
      <c r="F103" s="107" t="s">
        <v>567</v>
      </c>
      <c r="G103" s="107">
        <v>1</v>
      </c>
      <c r="H103" s="107" t="s">
        <v>515</v>
      </c>
      <c r="I103" s="112">
        <v>200000</v>
      </c>
      <c r="J103" s="84">
        <v>200000</v>
      </c>
      <c r="K103" s="84"/>
      <c r="L103" s="92"/>
      <c r="M103" s="84"/>
      <c r="N103" s="92"/>
      <c r="O103" s="84"/>
      <c r="P103" s="84"/>
      <c r="Q103" s="92"/>
      <c r="R103" s="92"/>
      <c r="S103" s="92"/>
      <c r="T103" s="84"/>
      <c r="U103" s="93"/>
      <c r="V103" s="84"/>
      <c r="W103" s="92"/>
      <c r="X103" s="92"/>
      <c r="Y103" s="92"/>
      <c r="Z103" s="92"/>
      <c r="AA103" s="92"/>
      <c r="AB103" s="84"/>
      <c r="AC103" s="84"/>
      <c r="AD103" s="84"/>
    </row>
    <row r="104" spans="1:30">
      <c r="B104" s="105"/>
      <c r="C104" s="107" t="s">
        <v>596</v>
      </c>
      <c r="D104" s="107" t="s">
        <v>597</v>
      </c>
      <c r="E104" s="107" t="s">
        <v>598</v>
      </c>
      <c r="F104" s="107" t="s">
        <v>599</v>
      </c>
      <c r="G104" s="107">
        <v>1</v>
      </c>
      <c r="H104" s="107" t="s">
        <v>515</v>
      </c>
      <c r="I104" s="112">
        <v>200000</v>
      </c>
      <c r="J104" s="84"/>
      <c r="K104" s="84"/>
      <c r="L104" s="92">
        <v>200000</v>
      </c>
      <c r="M104" s="84"/>
      <c r="N104" s="92"/>
      <c r="O104" s="84"/>
      <c r="P104" s="84"/>
      <c r="Q104" s="92"/>
      <c r="R104" s="92"/>
      <c r="S104" s="92"/>
      <c r="T104" s="84"/>
      <c r="U104" s="93"/>
      <c r="V104" s="92"/>
      <c r="W104" s="92"/>
      <c r="X104" s="92"/>
      <c r="Y104" s="92"/>
      <c r="Z104" s="92"/>
      <c r="AA104" s="92"/>
      <c r="AB104" s="84"/>
      <c r="AC104" s="84"/>
      <c r="AD104" s="84"/>
    </row>
    <row r="105" spans="1:30">
      <c r="A105" t="s">
        <v>743</v>
      </c>
      <c r="B105" s="64" t="s">
        <v>326</v>
      </c>
      <c r="C105" s="64" t="s">
        <v>87</v>
      </c>
      <c r="D105" s="64" t="s">
        <v>88</v>
      </c>
      <c r="E105" s="64">
        <v>19792.91</v>
      </c>
      <c r="F105" s="64">
        <v>217722</v>
      </c>
      <c r="G105" s="64">
        <v>197929.09</v>
      </c>
      <c r="H105" s="64" t="s">
        <v>8</v>
      </c>
      <c r="I105" s="81">
        <v>217722</v>
      </c>
      <c r="J105" s="65">
        <v>197929.09</v>
      </c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49">
        <v>197929.09</v>
      </c>
      <c r="AD105" s="49">
        <v>0</v>
      </c>
    </row>
    <row r="106" spans="1:30">
      <c r="B106" s="105"/>
      <c r="C106" s="107" t="s">
        <v>693</v>
      </c>
      <c r="D106" s="107" t="s">
        <v>694</v>
      </c>
      <c r="E106" s="107" t="s">
        <v>695</v>
      </c>
      <c r="F106" s="107" t="s">
        <v>696</v>
      </c>
      <c r="G106" s="107">
        <v>1</v>
      </c>
      <c r="H106" s="107" t="s">
        <v>515</v>
      </c>
      <c r="I106" s="112">
        <v>259000</v>
      </c>
      <c r="J106" s="84"/>
      <c r="K106" s="84"/>
      <c r="L106" s="92"/>
      <c r="M106" s="84"/>
      <c r="N106" s="92"/>
      <c r="O106" s="84"/>
      <c r="P106" s="84">
        <v>259000</v>
      </c>
      <c r="Q106" s="92"/>
      <c r="R106" s="92"/>
      <c r="S106" s="92"/>
      <c r="T106" s="84"/>
      <c r="U106" s="93"/>
      <c r="V106" s="84"/>
      <c r="W106" s="92"/>
      <c r="X106" s="92"/>
      <c r="Y106" s="92"/>
      <c r="Z106" s="92"/>
      <c r="AA106" s="92"/>
      <c r="AB106" s="84"/>
      <c r="AC106" s="84"/>
      <c r="AD106" s="84"/>
    </row>
    <row r="107" spans="1:30">
      <c r="A107" t="s">
        <v>743</v>
      </c>
      <c r="B107" s="64" t="s">
        <v>260</v>
      </c>
      <c r="C107" s="64" t="s">
        <v>261</v>
      </c>
      <c r="D107" s="64" t="s">
        <v>262</v>
      </c>
      <c r="E107" s="64">
        <v>23545.454545000001</v>
      </c>
      <c r="F107" s="64">
        <v>259000</v>
      </c>
      <c r="G107" s="64">
        <v>235454.54545500001</v>
      </c>
      <c r="H107" s="64" t="s">
        <v>8</v>
      </c>
      <c r="I107" s="81">
        <v>259000</v>
      </c>
      <c r="J107" s="65"/>
      <c r="K107" s="64"/>
      <c r="L107" s="64"/>
      <c r="M107" s="64"/>
      <c r="N107" s="64"/>
      <c r="O107" s="64"/>
      <c r="P107" s="64">
        <v>259000</v>
      </c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49">
        <v>259000</v>
      </c>
      <c r="AD107" s="49">
        <v>23545.454544999986</v>
      </c>
    </row>
    <row r="108" spans="1:30">
      <c r="A108" t="s">
        <v>743</v>
      </c>
      <c r="B108" s="64" t="s">
        <v>311</v>
      </c>
      <c r="C108" s="64" t="s">
        <v>312</v>
      </c>
      <c r="D108" s="64" t="s">
        <v>313</v>
      </c>
      <c r="E108" s="64">
        <v>23636.363635999998</v>
      </c>
      <c r="F108" s="64">
        <v>260000</v>
      </c>
      <c r="G108" s="64">
        <v>236363.63636400001</v>
      </c>
      <c r="H108" s="64" t="s">
        <v>8</v>
      </c>
      <c r="I108" s="81">
        <v>260000</v>
      </c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49">
        <v>0</v>
      </c>
      <c r="AD108" s="49">
        <v>-236363.63636400001</v>
      </c>
    </row>
    <row r="109" spans="1:30">
      <c r="B109" s="105"/>
      <c r="C109" s="107" t="s">
        <v>721</v>
      </c>
      <c r="D109" s="107" t="s">
        <v>722</v>
      </c>
      <c r="E109" s="107" t="s">
        <v>652</v>
      </c>
      <c r="F109" s="107" t="s">
        <v>653</v>
      </c>
      <c r="G109" s="107">
        <v>1</v>
      </c>
      <c r="H109" s="107" t="s">
        <v>515</v>
      </c>
      <c r="I109" s="115">
        <v>264000</v>
      </c>
      <c r="J109" s="84"/>
      <c r="K109" s="84"/>
      <c r="L109" s="92"/>
      <c r="M109" s="84"/>
      <c r="N109" s="92"/>
      <c r="O109" s="84"/>
      <c r="P109" s="84">
        <v>264000</v>
      </c>
      <c r="Q109" s="92"/>
      <c r="R109" s="92"/>
      <c r="S109" s="92"/>
      <c r="T109" s="84"/>
      <c r="U109" s="93"/>
      <c r="V109" s="84"/>
      <c r="W109" s="92"/>
      <c r="X109" s="92"/>
      <c r="Y109" s="92"/>
      <c r="Z109" s="92"/>
      <c r="AA109" s="92"/>
      <c r="AB109" s="84"/>
      <c r="AC109" s="84"/>
      <c r="AD109" s="84"/>
    </row>
    <row r="110" spans="1:30">
      <c r="A110" t="s">
        <v>743</v>
      </c>
      <c r="B110" s="64" t="s">
        <v>240</v>
      </c>
      <c r="C110" s="64" t="s">
        <v>243</v>
      </c>
      <c r="D110" s="64" t="s">
        <v>244</v>
      </c>
      <c r="E110" s="64">
        <v>24000</v>
      </c>
      <c r="F110" s="64">
        <v>264000</v>
      </c>
      <c r="G110" s="64">
        <v>240000</v>
      </c>
      <c r="H110" s="64" t="s">
        <v>8</v>
      </c>
      <c r="I110" s="81">
        <v>264000</v>
      </c>
      <c r="J110" s="64"/>
      <c r="K110" s="64"/>
      <c r="L110" s="64"/>
      <c r="M110" s="64"/>
      <c r="N110" s="64"/>
      <c r="O110" s="64"/>
      <c r="P110" s="65">
        <v>240000</v>
      </c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49">
        <v>240000</v>
      </c>
      <c r="AD110" s="49">
        <v>0</v>
      </c>
    </row>
    <row r="111" spans="1:30">
      <c r="A111" t="s">
        <v>743</v>
      </c>
      <c r="B111" s="64" t="s">
        <v>311</v>
      </c>
      <c r="C111" s="64" t="s">
        <v>314</v>
      </c>
      <c r="D111" s="64" t="s">
        <v>315</v>
      </c>
      <c r="E111" s="64">
        <v>24481.818181999999</v>
      </c>
      <c r="F111" s="64">
        <v>269300</v>
      </c>
      <c r="G111" s="64">
        <v>244818.18181800001</v>
      </c>
      <c r="H111" s="64" t="s">
        <v>8</v>
      </c>
      <c r="I111" s="81">
        <v>269300</v>
      </c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49">
        <v>0</v>
      </c>
      <c r="AD111" s="49">
        <v>-244818.18181800001</v>
      </c>
    </row>
    <row r="112" spans="1:30">
      <c r="A112" t="s">
        <v>743</v>
      </c>
      <c r="B112" s="64" t="s">
        <v>339</v>
      </c>
      <c r="C112" s="64" t="s">
        <v>340</v>
      </c>
      <c r="D112" s="64" t="s">
        <v>341</v>
      </c>
      <c r="E112" s="64">
        <v>24490.91</v>
      </c>
      <c r="F112" s="64">
        <v>269400</v>
      </c>
      <c r="G112" s="64">
        <v>244909.09</v>
      </c>
      <c r="H112" s="64" t="s">
        <v>8</v>
      </c>
      <c r="I112" s="81">
        <v>269400</v>
      </c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49">
        <v>0</v>
      </c>
      <c r="AD112" s="49">
        <v>-244909.09</v>
      </c>
    </row>
    <row r="113" spans="1:30">
      <c r="B113" s="105"/>
      <c r="C113" s="107" t="s">
        <v>642</v>
      </c>
      <c r="D113" s="107" t="s">
        <v>643</v>
      </c>
      <c r="E113" s="107" t="s">
        <v>644</v>
      </c>
      <c r="F113" s="107" t="s">
        <v>645</v>
      </c>
      <c r="G113" s="107">
        <v>1</v>
      </c>
      <c r="H113" s="107" t="s">
        <v>515</v>
      </c>
      <c r="I113" s="112">
        <v>285600</v>
      </c>
      <c r="J113" s="84"/>
      <c r="K113" s="84"/>
      <c r="L113" s="92">
        <v>285600</v>
      </c>
      <c r="M113" s="84"/>
      <c r="N113" s="92"/>
      <c r="O113" s="84"/>
      <c r="P113" s="84"/>
      <c r="Q113" s="92"/>
      <c r="R113" s="92"/>
      <c r="S113" s="92"/>
      <c r="T113" s="84"/>
      <c r="U113" s="93"/>
      <c r="V113" s="84"/>
      <c r="W113" s="92"/>
      <c r="X113" s="92"/>
      <c r="Y113" s="92"/>
      <c r="Z113" s="92"/>
      <c r="AA113" s="92"/>
      <c r="AB113" s="84"/>
      <c r="AC113" s="84"/>
      <c r="AD113" s="84"/>
    </row>
    <row r="114" spans="1:30">
      <c r="B114" s="105"/>
      <c r="C114" s="107" t="s">
        <v>634</v>
      </c>
      <c r="D114" s="107" t="s">
        <v>635</v>
      </c>
      <c r="E114" s="107" t="s">
        <v>636</v>
      </c>
      <c r="F114" s="107" t="s">
        <v>637</v>
      </c>
      <c r="G114" s="107">
        <v>1</v>
      </c>
      <c r="H114" s="107" t="s">
        <v>515</v>
      </c>
      <c r="I114" s="112">
        <v>287500</v>
      </c>
      <c r="J114" s="84"/>
      <c r="K114" s="84"/>
      <c r="L114" s="92">
        <v>287500</v>
      </c>
      <c r="M114" s="84"/>
      <c r="N114" s="92"/>
      <c r="O114" s="84"/>
      <c r="P114" s="84"/>
      <c r="Q114" s="92"/>
      <c r="R114" s="92"/>
      <c r="S114" s="92"/>
      <c r="T114" s="84"/>
      <c r="U114" s="93"/>
      <c r="V114" s="84"/>
      <c r="W114" s="92"/>
      <c r="X114" s="92"/>
      <c r="Y114" s="92"/>
      <c r="Z114" s="92"/>
      <c r="AA114" s="92"/>
      <c r="AB114" s="84"/>
      <c r="AC114" s="84"/>
      <c r="AD114" s="84"/>
    </row>
    <row r="115" spans="1:30">
      <c r="A115" t="s">
        <v>743</v>
      </c>
      <c r="B115" s="64" t="s">
        <v>290</v>
      </c>
      <c r="C115" s="64" t="s">
        <v>241</v>
      </c>
      <c r="D115" s="64" t="s">
        <v>242</v>
      </c>
      <c r="E115" s="64">
        <v>28000</v>
      </c>
      <c r="F115" s="64">
        <v>308000</v>
      </c>
      <c r="G115" s="64">
        <v>280000</v>
      </c>
      <c r="H115" s="64" t="s">
        <v>8</v>
      </c>
      <c r="I115" s="81">
        <v>308000</v>
      </c>
      <c r="J115" s="65"/>
      <c r="K115" s="64"/>
      <c r="L115" s="64"/>
      <c r="M115" s="64"/>
      <c r="N115" s="82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49">
        <v>0</v>
      </c>
      <c r="AD115" s="49">
        <v>-280000</v>
      </c>
    </row>
    <row r="116" spans="1:30">
      <c r="B116" s="105"/>
      <c r="C116" s="107" t="s">
        <v>568</v>
      </c>
      <c r="D116" s="110" t="s">
        <v>569</v>
      </c>
      <c r="E116" s="110" t="s">
        <v>562</v>
      </c>
      <c r="F116" s="110" t="s">
        <v>563</v>
      </c>
      <c r="G116" s="110">
        <v>1</v>
      </c>
      <c r="H116" s="110" t="s">
        <v>515</v>
      </c>
      <c r="I116" s="113">
        <v>320000</v>
      </c>
      <c r="J116" s="84"/>
      <c r="K116" s="84"/>
      <c r="L116" s="92"/>
      <c r="M116" s="84"/>
      <c r="N116" s="92"/>
      <c r="O116" s="84"/>
      <c r="P116" s="84"/>
      <c r="Q116" s="92"/>
      <c r="R116" s="92"/>
      <c r="S116" s="92"/>
      <c r="T116" s="84"/>
      <c r="U116" s="93"/>
      <c r="V116" s="84"/>
      <c r="W116" s="92"/>
      <c r="X116" s="92"/>
      <c r="Y116" s="92"/>
      <c r="Z116" s="92"/>
      <c r="AA116" s="92"/>
      <c r="AB116" s="84"/>
      <c r="AC116" s="84"/>
      <c r="AD116" s="84"/>
    </row>
    <row r="117" spans="1:30">
      <c r="B117" s="105"/>
      <c r="C117" s="107" t="s">
        <v>654</v>
      </c>
      <c r="D117" s="107" t="s">
        <v>655</v>
      </c>
      <c r="E117" s="107" t="s">
        <v>656</v>
      </c>
      <c r="F117" s="107" t="s">
        <v>657</v>
      </c>
      <c r="G117" s="107">
        <v>1</v>
      </c>
      <c r="H117" s="107" t="s">
        <v>515</v>
      </c>
      <c r="I117" s="112">
        <v>320000</v>
      </c>
      <c r="J117" s="84"/>
      <c r="K117" s="84"/>
      <c r="L117" s="92"/>
      <c r="M117" s="84"/>
      <c r="N117" s="92"/>
      <c r="O117" s="84"/>
      <c r="P117" s="84">
        <v>320000</v>
      </c>
      <c r="Q117" s="92"/>
      <c r="R117" s="92"/>
      <c r="S117" s="92"/>
      <c r="T117" s="84"/>
      <c r="U117" s="93"/>
      <c r="V117" s="84"/>
      <c r="W117" s="92"/>
      <c r="X117" s="92"/>
      <c r="Y117" s="92"/>
      <c r="Z117" s="92"/>
      <c r="AA117" s="92"/>
      <c r="AB117" s="84"/>
      <c r="AC117" s="84"/>
      <c r="AD117" s="84"/>
    </row>
    <row r="118" spans="1:30">
      <c r="A118" t="s">
        <v>743</v>
      </c>
      <c r="B118" s="64" t="s">
        <v>268</v>
      </c>
      <c r="C118" s="64" t="s">
        <v>271</v>
      </c>
      <c r="D118" s="64" t="s">
        <v>272</v>
      </c>
      <c r="E118" s="64">
        <v>29090.909091000001</v>
      </c>
      <c r="F118" s="64">
        <v>320000</v>
      </c>
      <c r="G118" s="64">
        <v>290909.09090900002</v>
      </c>
      <c r="H118" s="64" t="s">
        <v>8</v>
      </c>
      <c r="I118" s="81">
        <v>320000</v>
      </c>
      <c r="J118" s="64"/>
      <c r="K118" s="64"/>
      <c r="L118" s="64"/>
      <c r="M118" s="64"/>
      <c r="N118" s="65"/>
      <c r="O118" s="64"/>
      <c r="P118" s="65">
        <v>290909.09090900002</v>
      </c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49">
        <v>290909.09090900002</v>
      </c>
      <c r="AD118" s="49">
        <v>0</v>
      </c>
    </row>
    <row r="119" spans="1:30">
      <c r="A119" t="s">
        <v>743</v>
      </c>
      <c r="B119" s="64" t="s">
        <v>320</v>
      </c>
      <c r="C119" s="64" t="s">
        <v>321</v>
      </c>
      <c r="D119" s="64" t="s">
        <v>322</v>
      </c>
      <c r="E119" s="64">
        <v>0</v>
      </c>
      <c r="F119" s="64">
        <v>320000</v>
      </c>
      <c r="G119" s="64">
        <v>320000</v>
      </c>
      <c r="H119" s="64" t="s">
        <v>55</v>
      </c>
      <c r="I119" s="81">
        <v>320000</v>
      </c>
      <c r="J119" s="64"/>
      <c r="K119" s="64"/>
      <c r="L119" s="64"/>
      <c r="M119" s="65">
        <v>320000</v>
      </c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49">
        <v>320000</v>
      </c>
      <c r="AD119" s="49">
        <v>0</v>
      </c>
    </row>
    <row r="120" spans="1:30">
      <c r="A120" t="s">
        <v>743</v>
      </c>
      <c r="B120" s="64" t="s">
        <v>240</v>
      </c>
      <c r="C120" s="64" t="s">
        <v>241</v>
      </c>
      <c r="D120" s="64" t="s">
        <v>242</v>
      </c>
      <c r="E120" s="64">
        <v>30400</v>
      </c>
      <c r="F120" s="64">
        <v>334400</v>
      </c>
      <c r="G120" s="64">
        <v>304000</v>
      </c>
      <c r="H120" s="64" t="s">
        <v>8</v>
      </c>
      <c r="I120" s="81">
        <v>334400</v>
      </c>
      <c r="J120" s="65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49">
        <v>0</v>
      </c>
      <c r="AD120" s="49">
        <v>-304000</v>
      </c>
    </row>
    <row r="121" spans="1:30">
      <c r="A121" t="s">
        <v>743</v>
      </c>
      <c r="B121" s="64" t="s">
        <v>342</v>
      </c>
      <c r="C121" s="64" t="s">
        <v>308</v>
      </c>
      <c r="D121" s="64" t="s">
        <v>309</v>
      </c>
      <c r="E121" s="64">
        <v>35062.5</v>
      </c>
      <c r="F121" s="64">
        <v>392700</v>
      </c>
      <c r="G121" s="64">
        <v>357637.5</v>
      </c>
      <c r="H121" s="64" t="s">
        <v>8</v>
      </c>
      <c r="I121" s="81">
        <v>392700</v>
      </c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49">
        <v>0</v>
      </c>
      <c r="AD121" s="49">
        <v>-357637.5</v>
      </c>
    </row>
    <row r="122" spans="1:30">
      <c r="A122" t="s">
        <v>743</v>
      </c>
      <c r="B122" s="64" t="s">
        <v>281</v>
      </c>
      <c r="C122" s="64" t="s">
        <v>241</v>
      </c>
      <c r="D122" s="64" t="s">
        <v>242</v>
      </c>
      <c r="E122" s="64">
        <v>36000</v>
      </c>
      <c r="F122" s="64">
        <v>396000</v>
      </c>
      <c r="G122" s="64">
        <v>360000</v>
      </c>
      <c r="H122" s="64" t="s">
        <v>8</v>
      </c>
      <c r="I122" s="81">
        <v>396000</v>
      </c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49">
        <v>0</v>
      </c>
      <c r="AD122" s="49">
        <v>-360000</v>
      </c>
    </row>
    <row r="123" spans="1:30">
      <c r="A123" t="s">
        <v>743</v>
      </c>
      <c r="B123" s="64" t="s">
        <v>307</v>
      </c>
      <c r="C123" s="64" t="s">
        <v>308</v>
      </c>
      <c r="D123" s="64" t="s">
        <v>309</v>
      </c>
      <c r="E123" s="64">
        <v>36473.214286000002</v>
      </c>
      <c r="F123" s="64">
        <v>408500</v>
      </c>
      <c r="G123" s="64">
        <v>372026.785714</v>
      </c>
      <c r="H123" s="64" t="s">
        <v>8</v>
      </c>
      <c r="I123" s="81">
        <v>408500</v>
      </c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49">
        <v>0</v>
      </c>
      <c r="AD123" s="49">
        <v>-372026.785714</v>
      </c>
    </row>
    <row r="124" spans="1:30">
      <c r="B124" s="105"/>
      <c r="C124" s="107" t="s">
        <v>648</v>
      </c>
      <c r="D124" s="107" t="s">
        <v>649</v>
      </c>
      <c r="E124" s="107" t="s">
        <v>562</v>
      </c>
      <c r="F124" s="107" t="s">
        <v>563</v>
      </c>
      <c r="G124" s="107">
        <v>1</v>
      </c>
      <c r="H124" s="107" t="s">
        <v>515</v>
      </c>
      <c r="I124" s="112">
        <v>411250</v>
      </c>
      <c r="J124" s="84"/>
      <c r="K124" s="84"/>
      <c r="L124" s="92">
        <v>411250</v>
      </c>
      <c r="M124" s="84"/>
      <c r="N124" s="92"/>
      <c r="O124" s="84"/>
      <c r="P124" s="84"/>
      <c r="Q124" s="92"/>
      <c r="R124" s="92"/>
      <c r="S124" s="92"/>
      <c r="T124" s="84"/>
      <c r="U124" s="93"/>
      <c r="V124" s="84"/>
      <c r="W124" s="92"/>
      <c r="X124" s="92"/>
      <c r="Y124" s="92"/>
      <c r="Z124" s="92"/>
      <c r="AA124" s="92"/>
      <c r="AB124" s="84"/>
      <c r="AC124" s="84"/>
      <c r="AD124" s="84"/>
    </row>
    <row r="125" spans="1:30">
      <c r="A125" t="s">
        <v>743</v>
      </c>
      <c r="B125" s="64" t="s">
        <v>338</v>
      </c>
      <c r="C125" s="64" t="s">
        <v>140</v>
      </c>
      <c r="D125" s="64" t="s">
        <v>141</v>
      </c>
      <c r="E125" s="64">
        <v>0</v>
      </c>
      <c r="F125" s="64">
        <v>475000</v>
      </c>
      <c r="G125" s="64">
        <v>475000</v>
      </c>
      <c r="H125" s="64" t="s">
        <v>55</v>
      </c>
      <c r="I125" s="81">
        <v>475000</v>
      </c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49">
        <v>0</v>
      </c>
      <c r="AD125" s="49">
        <v>-475000</v>
      </c>
    </row>
    <row r="126" spans="1:30">
      <c r="A126" t="s">
        <v>743</v>
      </c>
      <c r="B126" s="64" t="s">
        <v>281</v>
      </c>
      <c r="C126" s="64" t="s">
        <v>241</v>
      </c>
      <c r="D126" s="64" t="s">
        <v>242</v>
      </c>
      <c r="E126" s="64">
        <v>44000</v>
      </c>
      <c r="F126" s="64">
        <v>484000</v>
      </c>
      <c r="G126" s="64">
        <v>440000</v>
      </c>
      <c r="H126" s="64" t="s">
        <v>8</v>
      </c>
      <c r="I126" s="81">
        <v>484000</v>
      </c>
      <c r="J126" s="65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49">
        <v>0</v>
      </c>
      <c r="AD126" s="49">
        <v>-440000</v>
      </c>
    </row>
    <row r="127" spans="1:30">
      <c r="A127" t="s">
        <v>743</v>
      </c>
      <c r="B127" s="64" t="s">
        <v>326</v>
      </c>
      <c r="C127" s="64" t="s">
        <v>329</v>
      </c>
      <c r="D127" s="64" t="s">
        <v>330</v>
      </c>
      <c r="E127" s="64">
        <v>44094.64</v>
      </c>
      <c r="F127" s="64">
        <v>490439</v>
      </c>
      <c r="G127" s="64">
        <v>446344.36</v>
      </c>
      <c r="H127" s="64" t="s">
        <v>8</v>
      </c>
      <c r="I127" s="81">
        <v>490439</v>
      </c>
      <c r="J127" s="64"/>
      <c r="K127" s="64"/>
      <c r="L127" s="65">
        <v>446344.36</v>
      </c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49">
        <v>446344.36</v>
      </c>
      <c r="AD127" s="49">
        <v>0</v>
      </c>
    </row>
    <row r="128" spans="1:30">
      <c r="B128" s="105"/>
      <c r="C128" s="107" t="s">
        <v>616</v>
      </c>
      <c r="D128" s="107" t="s">
        <v>617</v>
      </c>
      <c r="E128" s="107" t="s">
        <v>618</v>
      </c>
      <c r="F128" s="107" t="s">
        <v>619</v>
      </c>
      <c r="G128" s="107">
        <v>1</v>
      </c>
      <c r="H128" s="107" t="s">
        <v>515</v>
      </c>
      <c r="I128" s="112">
        <v>500000</v>
      </c>
      <c r="J128" s="84"/>
      <c r="K128" s="84"/>
      <c r="L128" s="92"/>
      <c r="M128" s="84"/>
      <c r="N128" s="92"/>
      <c r="O128" s="84"/>
      <c r="P128" s="84"/>
      <c r="Q128" s="92"/>
      <c r="R128" s="92"/>
      <c r="S128" s="92"/>
      <c r="T128" s="84"/>
      <c r="U128" s="93"/>
      <c r="V128" s="84"/>
      <c r="W128" s="92"/>
      <c r="X128" s="92"/>
      <c r="Y128" s="92"/>
      <c r="Z128" s="92"/>
      <c r="AA128" s="92">
        <v>500000</v>
      </c>
      <c r="AB128" s="84"/>
      <c r="AC128" s="84"/>
      <c r="AD128" s="84"/>
    </row>
    <row r="129" spans="1:30">
      <c r="B129" s="105"/>
      <c r="C129" s="107" t="s">
        <v>624</v>
      </c>
      <c r="D129" s="110" t="s">
        <v>625</v>
      </c>
      <c r="E129" s="110" t="s">
        <v>598</v>
      </c>
      <c r="F129" s="110" t="s">
        <v>599</v>
      </c>
      <c r="G129" s="110">
        <v>1</v>
      </c>
      <c r="H129" s="110" t="s">
        <v>515</v>
      </c>
      <c r="I129" s="113">
        <v>500000</v>
      </c>
      <c r="J129" s="84"/>
      <c r="K129" s="84"/>
      <c r="L129" s="92"/>
      <c r="M129" s="84"/>
      <c r="N129" s="92"/>
      <c r="O129" s="84"/>
      <c r="P129" s="84"/>
      <c r="Q129" s="92"/>
      <c r="R129" s="92"/>
      <c r="S129" s="92"/>
      <c r="T129" s="84"/>
      <c r="U129" s="93"/>
      <c r="V129" s="92"/>
      <c r="W129" s="92"/>
      <c r="X129" s="92"/>
      <c r="Y129" s="92"/>
      <c r="Z129" s="92"/>
      <c r="AA129" s="92"/>
      <c r="AB129" s="84"/>
      <c r="AC129" s="84"/>
      <c r="AD129" s="84"/>
    </row>
    <row r="130" spans="1:30">
      <c r="B130" s="105"/>
      <c r="C130" s="107" t="s">
        <v>602</v>
      </c>
      <c r="D130" s="107" t="s">
        <v>603</v>
      </c>
      <c r="E130" s="107" t="s">
        <v>594</v>
      </c>
      <c r="F130" s="107" t="s">
        <v>595</v>
      </c>
      <c r="G130" s="107">
        <v>1</v>
      </c>
      <c r="H130" s="107" t="s">
        <v>515</v>
      </c>
      <c r="I130" s="112">
        <v>540000</v>
      </c>
      <c r="J130" s="84"/>
      <c r="K130" s="84"/>
      <c r="L130" s="92"/>
      <c r="M130" s="84"/>
      <c r="N130" s="92"/>
      <c r="O130" s="84"/>
      <c r="P130" s="84"/>
      <c r="Q130" s="92"/>
      <c r="R130" s="92"/>
      <c r="S130" s="92"/>
      <c r="T130" s="84"/>
      <c r="U130" s="93"/>
      <c r="V130" s="92">
        <v>540000</v>
      </c>
      <c r="W130" s="92"/>
      <c r="X130" s="92"/>
      <c r="Y130" s="92"/>
      <c r="Z130" s="92"/>
      <c r="AA130" s="92"/>
      <c r="AB130" s="84"/>
      <c r="AC130" s="84"/>
      <c r="AD130" s="84"/>
    </row>
    <row r="131" spans="1:30">
      <c r="B131" s="105"/>
      <c r="C131" s="107" t="s">
        <v>626</v>
      </c>
      <c r="D131" s="107" t="s">
        <v>627</v>
      </c>
      <c r="E131" s="107" t="s">
        <v>628</v>
      </c>
      <c r="F131" s="107" t="s">
        <v>629</v>
      </c>
      <c r="G131" s="107">
        <v>1</v>
      </c>
      <c r="H131" s="107" t="s">
        <v>515</v>
      </c>
      <c r="I131" s="112">
        <v>572000</v>
      </c>
      <c r="J131" s="84"/>
      <c r="K131" s="84"/>
      <c r="L131" s="92"/>
      <c r="M131" s="84"/>
      <c r="N131" s="92"/>
      <c r="O131" s="84"/>
      <c r="P131" s="84">
        <v>572000</v>
      </c>
      <c r="Q131" s="92"/>
      <c r="R131" s="92"/>
      <c r="S131" s="92"/>
      <c r="T131" s="84"/>
      <c r="U131" s="93"/>
      <c r="V131" s="84"/>
      <c r="W131" s="92"/>
      <c r="X131" s="92"/>
      <c r="Y131" s="92"/>
      <c r="Z131" s="92"/>
      <c r="AA131" s="92"/>
      <c r="AB131" s="84"/>
      <c r="AC131" s="84"/>
      <c r="AD131" s="84"/>
    </row>
    <row r="132" spans="1:30">
      <c r="A132" t="s">
        <v>743</v>
      </c>
      <c r="B132" s="64" t="s">
        <v>275</v>
      </c>
      <c r="C132" s="64" t="s">
        <v>190</v>
      </c>
      <c r="D132" s="64" t="s">
        <v>191</v>
      </c>
      <c r="E132" s="64">
        <v>52000</v>
      </c>
      <c r="F132" s="64">
        <v>572000</v>
      </c>
      <c r="G132" s="64">
        <v>520000</v>
      </c>
      <c r="H132" s="64" t="s">
        <v>8</v>
      </c>
      <c r="I132" s="81">
        <v>572000</v>
      </c>
      <c r="J132" s="65"/>
      <c r="K132" s="64"/>
      <c r="L132" s="64"/>
      <c r="M132" s="64"/>
      <c r="N132" s="65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49">
        <v>0</v>
      </c>
      <c r="AD132" s="49">
        <v>-520000</v>
      </c>
    </row>
    <row r="133" spans="1:30">
      <c r="A133" t="s">
        <v>743</v>
      </c>
      <c r="B133" s="64" t="s">
        <v>290</v>
      </c>
      <c r="C133" s="64" t="s">
        <v>241</v>
      </c>
      <c r="D133" s="64" t="s">
        <v>242</v>
      </c>
      <c r="E133" s="64">
        <v>53000</v>
      </c>
      <c r="F133" s="64">
        <v>583000</v>
      </c>
      <c r="G133" s="64">
        <v>530000</v>
      </c>
      <c r="H133" s="64" t="s">
        <v>8</v>
      </c>
      <c r="I133" s="81">
        <v>583000</v>
      </c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49">
        <v>0</v>
      </c>
      <c r="AD133" s="49">
        <v>-530000</v>
      </c>
    </row>
    <row r="134" spans="1:30">
      <c r="B134" s="105"/>
      <c r="C134" s="107" t="s">
        <v>713</v>
      </c>
      <c r="D134" s="107" t="s">
        <v>714</v>
      </c>
      <c r="E134" s="107" t="s">
        <v>598</v>
      </c>
      <c r="F134" s="107" t="s">
        <v>599</v>
      </c>
      <c r="G134" s="107">
        <v>1</v>
      </c>
      <c r="H134" s="107" t="s">
        <v>515</v>
      </c>
      <c r="I134" s="112">
        <v>600000</v>
      </c>
      <c r="J134" s="84"/>
      <c r="K134" s="84"/>
      <c r="L134" s="92"/>
      <c r="M134" s="84"/>
      <c r="N134" s="92"/>
      <c r="O134" s="84"/>
      <c r="P134" s="84"/>
      <c r="Q134" s="92"/>
      <c r="R134" s="92"/>
      <c r="S134" s="92"/>
      <c r="T134" s="84"/>
      <c r="U134" s="93"/>
      <c r="V134" s="92"/>
      <c r="W134" s="92"/>
      <c r="X134" s="92"/>
      <c r="Y134" s="92"/>
      <c r="Z134" s="92">
        <v>600000</v>
      </c>
      <c r="AA134" s="92"/>
      <c r="AB134" s="84"/>
      <c r="AC134" s="84"/>
      <c r="AD134" s="84"/>
    </row>
    <row r="135" spans="1:30">
      <c r="B135" s="105"/>
      <c r="C135" s="107" t="s">
        <v>584</v>
      </c>
      <c r="D135" s="107" t="s">
        <v>585</v>
      </c>
      <c r="E135" s="107" t="s">
        <v>576</v>
      </c>
      <c r="F135" s="107" t="s">
        <v>577</v>
      </c>
      <c r="G135" s="107">
        <v>1</v>
      </c>
      <c r="H135" s="107" t="s">
        <v>515</v>
      </c>
      <c r="I135" s="112">
        <v>645000</v>
      </c>
      <c r="J135" s="84">
        <v>645000</v>
      </c>
      <c r="K135" s="84"/>
      <c r="L135" s="92"/>
      <c r="M135" s="84"/>
      <c r="N135" s="92"/>
      <c r="O135" s="84"/>
      <c r="P135" s="84"/>
      <c r="Q135" s="92"/>
      <c r="R135" s="92"/>
      <c r="S135" s="92"/>
      <c r="T135" s="84"/>
      <c r="U135" s="93"/>
      <c r="V135" s="84"/>
      <c r="W135" s="92"/>
      <c r="X135" s="92"/>
      <c r="Y135" s="92"/>
      <c r="Z135" s="92"/>
      <c r="AA135" s="92"/>
      <c r="AB135" s="84"/>
      <c r="AC135" s="84"/>
      <c r="AD135" s="84"/>
    </row>
    <row r="136" spans="1:30">
      <c r="B136" s="105"/>
      <c r="C136" s="107" t="s">
        <v>544</v>
      </c>
      <c r="D136" s="107" t="s">
        <v>545</v>
      </c>
      <c r="E136" s="107" t="s">
        <v>546</v>
      </c>
      <c r="F136" s="107" t="s">
        <v>547</v>
      </c>
      <c r="G136" s="107">
        <v>1</v>
      </c>
      <c r="H136" s="107" t="s">
        <v>515</v>
      </c>
      <c r="I136" s="112">
        <v>806667</v>
      </c>
      <c r="J136" s="84"/>
      <c r="K136" s="84"/>
      <c r="L136" s="92"/>
      <c r="M136" s="84"/>
      <c r="N136" s="92"/>
      <c r="O136" s="84"/>
      <c r="P136" s="84"/>
      <c r="Q136" s="92"/>
      <c r="R136" s="92"/>
      <c r="S136" s="92">
        <v>806667</v>
      </c>
      <c r="T136" s="84"/>
      <c r="U136" s="93"/>
      <c r="V136" s="84"/>
      <c r="W136" s="92"/>
      <c r="X136" s="92"/>
      <c r="Y136" s="92"/>
      <c r="Z136" s="92"/>
      <c r="AA136" s="92"/>
      <c r="AB136" s="84"/>
      <c r="AC136" s="84"/>
      <c r="AD136" s="84"/>
    </row>
    <row r="137" spans="1:30">
      <c r="A137" t="s">
        <v>743</v>
      </c>
      <c r="B137" s="64" t="s">
        <v>263</v>
      </c>
      <c r="C137" s="64" t="s">
        <v>266</v>
      </c>
      <c r="D137" s="64" t="s">
        <v>267</v>
      </c>
      <c r="E137" s="64">
        <v>84500</v>
      </c>
      <c r="F137" s="64">
        <v>929500</v>
      </c>
      <c r="G137" s="64">
        <v>845000</v>
      </c>
      <c r="H137" s="64" t="s">
        <v>8</v>
      </c>
      <c r="I137" s="81">
        <v>929500</v>
      </c>
      <c r="J137" s="64"/>
      <c r="K137" s="82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49">
        <v>0</v>
      </c>
      <c r="AD137" s="49">
        <v>-845000</v>
      </c>
    </row>
    <row r="138" spans="1:30">
      <c r="B138" s="105"/>
      <c r="C138" s="107" t="s">
        <v>516</v>
      </c>
      <c r="D138" s="107" t="s">
        <v>517</v>
      </c>
      <c r="E138" s="107" t="s">
        <v>518</v>
      </c>
      <c r="F138" s="107" t="s">
        <v>519</v>
      </c>
      <c r="G138" s="107">
        <v>1</v>
      </c>
      <c r="H138" s="107" t="s">
        <v>515</v>
      </c>
      <c r="I138" s="112">
        <v>1000000</v>
      </c>
      <c r="J138" s="84"/>
      <c r="K138" s="84"/>
      <c r="L138" s="92"/>
      <c r="M138" s="84"/>
      <c r="N138" s="92"/>
      <c r="O138" s="84"/>
      <c r="P138" s="84"/>
      <c r="Q138" s="92"/>
      <c r="R138" s="92"/>
      <c r="S138" s="92">
        <v>1000000</v>
      </c>
      <c r="T138" s="84"/>
      <c r="U138" s="93"/>
      <c r="V138" s="92"/>
      <c r="W138" s="92"/>
      <c r="X138" s="92"/>
      <c r="Y138" s="92"/>
      <c r="Z138" s="92"/>
      <c r="AA138" s="92"/>
      <c r="AB138" s="84"/>
      <c r="AC138" s="84"/>
      <c r="AD138" s="84"/>
    </row>
    <row r="139" spans="1:30">
      <c r="B139" s="105"/>
      <c r="C139" s="107" t="s">
        <v>646</v>
      </c>
      <c r="D139" s="110" t="s">
        <v>647</v>
      </c>
      <c r="E139" s="110" t="s">
        <v>598</v>
      </c>
      <c r="F139" s="110" t="s">
        <v>599</v>
      </c>
      <c r="G139" s="110">
        <v>1</v>
      </c>
      <c r="H139" s="110" t="s">
        <v>515</v>
      </c>
      <c r="I139" s="113">
        <v>1000000</v>
      </c>
      <c r="J139" s="84"/>
      <c r="K139" s="84"/>
      <c r="L139" s="92"/>
      <c r="M139" s="84"/>
      <c r="N139" s="92"/>
      <c r="O139" s="84"/>
      <c r="P139" s="84"/>
      <c r="Q139" s="92"/>
      <c r="R139" s="92"/>
      <c r="S139" s="92"/>
      <c r="T139" s="84"/>
      <c r="U139" s="93"/>
      <c r="V139" s="92"/>
      <c r="W139" s="92"/>
      <c r="X139" s="92"/>
      <c r="Y139" s="92"/>
      <c r="Z139" s="92"/>
      <c r="AA139" s="92"/>
      <c r="AB139" s="84"/>
      <c r="AC139" s="84"/>
      <c r="AD139" s="84"/>
    </row>
    <row r="140" spans="1:30">
      <c r="B140" s="105"/>
      <c r="C140" s="107" t="s">
        <v>524</v>
      </c>
      <c r="D140" s="107" t="s">
        <v>525</v>
      </c>
      <c r="E140" s="107" t="s">
        <v>526</v>
      </c>
      <c r="F140" s="107" t="s">
        <v>527</v>
      </c>
      <c r="G140" s="107">
        <v>1</v>
      </c>
      <c r="H140" s="107" t="s">
        <v>515</v>
      </c>
      <c r="I140" s="112">
        <v>1030000</v>
      </c>
      <c r="J140" s="84"/>
      <c r="K140" s="84"/>
      <c r="L140" s="92"/>
      <c r="M140" s="84"/>
      <c r="N140" s="92"/>
      <c r="O140" s="84"/>
      <c r="P140" s="84"/>
      <c r="Q140" s="92"/>
      <c r="R140" s="92"/>
      <c r="S140" s="92">
        <v>1030000</v>
      </c>
      <c r="T140" s="84"/>
      <c r="U140" s="93"/>
      <c r="V140" s="84"/>
      <c r="W140" s="92"/>
      <c r="X140" s="92"/>
      <c r="Y140" s="92"/>
      <c r="Z140" s="92"/>
      <c r="AA140" s="92"/>
      <c r="AB140" s="84"/>
      <c r="AC140" s="84"/>
      <c r="AD140" s="84"/>
    </row>
    <row r="141" spans="1:30">
      <c r="B141" s="105"/>
      <c r="C141" s="107" t="s">
        <v>532</v>
      </c>
      <c r="D141" s="107" t="s">
        <v>533</v>
      </c>
      <c r="E141" s="107" t="s">
        <v>534</v>
      </c>
      <c r="F141" s="107" t="s">
        <v>535</v>
      </c>
      <c r="G141" s="107">
        <v>1</v>
      </c>
      <c r="H141" s="107" t="s">
        <v>515</v>
      </c>
      <c r="I141" s="112">
        <v>1040000</v>
      </c>
      <c r="J141" s="84"/>
      <c r="K141" s="84"/>
      <c r="L141" s="92"/>
      <c r="M141" s="84"/>
      <c r="N141" s="92"/>
      <c r="O141" s="84"/>
      <c r="P141" s="84"/>
      <c r="Q141" s="92"/>
      <c r="R141" s="92"/>
      <c r="S141" s="92">
        <v>1040000</v>
      </c>
      <c r="T141" s="84"/>
      <c r="U141" s="93"/>
      <c r="V141" s="84"/>
      <c r="W141" s="92"/>
      <c r="X141" s="92"/>
      <c r="Y141" s="92"/>
      <c r="Z141" s="92"/>
      <c r="AA141" s="92"/>
      <c r="AB141" s="84"/>
      <c r="AC141" s="84"/>
      <c r="AD141" s="84"/>
    </row>
    <row r="142" spans="1:30">
      <c r="B142" s="105"/>
      <c r="C142" s="107" t="s">
        <v>552</v>
      </c>
      <c r="D142" s="107" t="s">
        <v>553</v>
      </c>
      <c r="E142" s="107" t="s">
        <v>554</v>
      </c>
      <c r="F142" s="107" t="s">
        <v>555</v>
      </c>
      <c r="G142" s="107">
        <v>1</v>
      </c>
      <c r="H142" s="107" t="s">
        <v>515</v>
      </c>
      <c r="I142" s="112">
        <v>1100000</v>
      </c>
      <c r="J142" s="84"/>
      <c r="K142" s="84"/>
      <c r="L142" s="92"/>
      <c r="M142" s="84"/>
      <c r="N142" s="92"/>
      <c r="O142" s="84"/>
      <c r="P142" s="84"/>
      <c r="Q142" s="92"/>
      <c r="R142" s="92"/>
      <c r="S142" s="92">
        <v>1100000</v>
      </c>
      <c r="T142" s="84"/>
      <c r="U142" s="93"/>
      <c r="V142" s="84"/>
      <c r="W142" s="92"/>
      <c r="X142" s="92"/>
      <c r="Y142" s="92"/>
      <c r="Z142" s="92"/>
      <c r="AA142" s="92"/>
      <c r="AB142" s="84"/>
      <c r="AC142" s="84"/>
      <c r="AD142" s="84"/>
    </row>
    <row r="143" spans="1:30">
      <c r="B143" s="105"/>
      <c r="C143" s="107" t="s">
        <v>592</v>
      </c>
      <c r="D143" s="110" t="s">
        <v>593</v>
      </c>
      <c r="E143" s="110" t="s">
        <v>594</v>
      </c>
      <c r="F143" s="110" t="s">
        <v>595</v>
      </c>
      <c r="G143" s="110">
        <v>1</v>
      </c>
      <c r="H143" s="110" t="s">
        <v>515</v>
      </c>
      <c r="I143" s="113">
        <v>1100000</v>
      </c>
      <c r="J143" s="84"/>
      <c r="K143" s="84"/>
      <c r="L143" s="92"/>
      <c r="M143" s="84"/>
      <c r="N143" s="92"/>
      <c r="O143" s="84"/>
      <c r="P143" s="84"/>
      <c r="Q143" s="92"/>
      <c r="R143" s="92"/>
      <c r="S143" s="92"/>
      <c r="T143" s="84"/>
      <c r="U143" s="93"/>
      <c r="V143" s="92"/>
      <c r="W143" s="92"/>
      <c r="X143" s="92"/>
      <c r="Y143" s="92"/>
      <c r="Z143" s="92"/>
      <c r="AA143" s="92"/>
      <c r="AB143" s="84"/>
      <c r="AC143" s="84"/>
      <c r="AD143" s="84"/>
    </row>
    <row r="144" spans="1:30">
      <c r="B144" s="105"/>
      <c r="C144" s="107" t="s">
        <v>536</v>
      </c>
      <c r="D144" s="107" t="s">
        <v>537</v>
      </c>
      <c r="E144" s="107" t="s">
        <v>538</v>
      </c>
      <c r="F144" s="107" t="s">
        <v>539</v>
      </c>
      <c r="G144" s="107">
        <v>1</v>
      </c>
      <c r="H144" s="107" t="s">
        <v>515</v>
      </c>
      <c r="I144" s="112">
        <v>1152000</v>
      </c>
      <c r="J144" s="84"/>
      <c r="K144" s="84"/>
      <c r="L144" s="92"/>
      <c r="M144" s="84"/>
      <c r="N144" s="92"/>
      <c r="O144" s="84"/>
      <c r="P144" s="84"/>
      <c r="Q144" s="92"/>
      <c r="R144" s="92"/>
      <c r="S144" s="92">
        <v>1152000</v>
      </c>
      <c r="T144" s="84"/>
      <c r="U144" s="93"/>
      <c r="V144" s="84"/>
      <c r="W144" s="92"/>
      <c r="X144" s="92"/>
      <c r="Y144" s="92"/>
      <c r="Z144" s="92"/>
      <c r="AA144" s="92"/>
      <c r="AB144" s="84"/>
      <c r="AC144" s="84"/>
      <c r="AD144" s="84"/>
    </row>
    <row r="145" spans="1:30">
      <c r="B145" s="105"/>
      <c r="C145" s="107" t="s">
        <v>548</v>
      </c>
      <c r="D145" s="107" t="s">
        <v>549</v>
      </c>
      <c r="E145" s="107" t="s">
        <v>550</v>
      </c>
      <c r="F145" s="107" t="s">
        <v>551</v>
      </c>
      <c r="G145" s="107">
        <v>1</v>
      </c>
      <c r="H145" s="107" t="s">
        <v>515</v>
      </c>
      <c r="I145" s="112">
        <v>1173333</v>
      </c>
      <c r="J145" s="84"/>
      <c r="K145" s="84"/>
      <c r="L145" s="92"/>
      <c r="M145" s="84"/>
      <c r="N145" s="92"/>
      <c r="O145" s="84"/>
      <c r="P145" s="84"/>
      <c r="Q145" s="92"/>
      <c r="R145" s="92"/>
      <c r="S145" s="92">
        <v>1173333</v>
      </c>
      <c r="T145" s="84"/>
      <c r="U145" s="93"/>
      <c r="V145" s="84"/>
      <c r="W145" s="92"/>
      <c r="X145" s="92"/>
      <c r="Y145" s="92"/>
      <c r="Z145" s="92"/>
      <c r="AA145" s="92"/>
      <c r="AB145" s="84"/>
      <c r="AC145" s="84"/>
      <c r="AD145" s="84"/>
    </row>
    <row r="146" spans="1:30">
      <c r="B146" s="105"/>
      <c r="C146" s="107" t="s">
        <v>556</v>
      </c>
      <c r="D146" s="107" t="s">
        <v>557</v>
      </c>
      <c r="E146" s="107" t="s">
        <v>558</v>
      </c>
      <c r="F146" s="107" t="s">
        <v>559</v>
      </c>
      <c r="G146" s="107">
        <v>1</v>
      </c>
      <c r="H146" s="107" t="s">
        <v>515</v>
      </c>
      <c r="I146" s="112">
        <v>1200000</v>
      </c>
      <c r="J146" s="84"/>
      <c r="K146" s="84"/>
      <c r="L146" s="92"/>
      <c r="M146" s="84"/>
      <c r="N146" s="92"/>
      <c r="O146" s="84"/>
      <c r="P146" s="84"/>
      <c r="Q146" s="92"/>
      <c r="R146" s="92"/>
      <c r="S146" s="92">
        <v>1200000</v>
      </c>
      <c r="T146" s="84"/>
      <c r="U146" s="93"/>
      <c r="V146" s="84"/>
      <c r="W146" s="92"/>
      <c r="X146" s="92"/>
      <c r="Y146" s="92"/>
      <c r="Z146" s="92"/>
      <c r="AA146" s="92"/>
      <c r="AB146" s="84"/>
      <c r="AC146" s="84"/>
      <c r="AD146" s="84"/>
    </row>
    <row r="147" spans="1:30">
      <c r="B147" s="105"/>
      <c r="C147" s="107" t="s">
        <v>540</v>
      </c>
      <c r="D147" s="107" t="s">
        <v>541</v>
      </c>
      <c r="E147" s="107" t="s">
        <v>542</v>
      </c>
      <c r="F147" s="107" t="s">
        <v>543</v>
      </c>
      <c r="G147" s="107">
        <v>1</v>
      </c>
      <c r="H147" s="107" t="s">
        <v>515</v>
      </c>
      <c r="I147" s="112">
        <v>1278000</v>
      </c>
      <c r="J147" s="84"/>
      <c r="K147" s="84"/>
      <c r="L147" s="92"/>
      <c r="M147" s="84"/>
      <c r="N147" s="92"/>
      <c r="O147" s="84"/>
      <c r="P147" s="84"/>
      <c r="Q147" s="92"/>
      <c r="R147" s="92"/>
      <c r="S147" s="92">
        <v>1278000</v>
      </c>
      <c r="T147" s="84"/>
      <c r="U147" s="93"/>
      <c r="V147" s="84"/>
      <c r="W147" s="92"/>
      <c r="X147" s="92"/>
      <c r="Y147" s="92"/>
      <c r="Z147" s="92"/>
      <c r="AA147" s="92"/>
      <c r="AB147" s="84"/>
      <c r="AC147" s="84"/>
      <c r="AD147" s="84"/>
    </row>
    <row r="148" spans="1:30">
      <c r="B148" s="105"/>
      <c r="C148" s="107" t="s">
        <v>511</v>
      </c>
      <c r="D148" s="107" t="s">
        <v>512</v>
      </c>
      <c r="E148" s="107" t="s">
        <v>513</v>
      </c>
      <c r="F148" s="107" t="s">
        <v>514</v>
      </c>
      <c r="G148" s="107">
        <v>1</v>
      </c>
      <c r="H148" s="107" t="s">
        <v>515</v>
      </c>
      <c r="I148" s="112">
        <v>1323333</v>
      </c>
      <c r="J148" s="84"/>
      <c r="K148" s="84"/>
      <c r="L148" s="92"/>
      <c r="M148" s="84"/>
      <c r="N148" s="92"/>
      <c r="O148" s="84"/>
      <c r="P148" s="84"/>
      <c r="Q148" s="92"/>
      <c r="R148" s="92"/>
      <c r="S148" s="92">
        <v>1323333</v>
      </c>
      <c r="T148" s="84"/>
      <c r="U148" s="93"/>
      <c r="V148" s="84"/>
      <c r="W148" s="92"/>
      <c r="X148" s="92"/>
      <c r="Y148" s="92"/>
      <c r="Z148" s="92"/>
      <c r="AA148" s="92"/>
      <c r="AB148" s="84"/>
      <c r="AC148" s="84"/>
      <c r="AD148" s="84"/>
    </row>
    <row r="149" spans="1:30">
      <c r="B149" s="105"/>
      <c r="C149" s="107" t="s">
        <v>528</v>
      </c>
      <c r="D149" s="107" t="s">
        <v>529</v>
      </c>
      <c r="E149" s="107" t="s">
        <v>530</v>
      </c>
      <c r="F149" s="107" t="s">
        <v>531</v>
      </c>
      <c r="G149" s="107">
        <v>1</v>
      </c>
      <c r="H149" s="107" t="s">
        <v>515</v>
      </c>
      <c r="I149" s="112">
        <v>1493333</v>
      </c>
      <c r="J149" s="84"/>
      <c r="K149" s="84"/>
      <c r="L149" s="92"/>
      <c r="M149" s="84"/>
      <c r="N149" s="92"/>
      <c r="O149" s="84"/>
      <c r="P149" s="84"/>
      <c r="Q149" s="92"/>
      <c r="R149" s="92"/>
      <c r="S149" s="92">
        <v>1493333</v>
      </c>
      <c r="T149" s="84"/>
      <c r="U149" s="93"/>
      <c r="V149" s="84"/>
      <c r="W149" s="92"/>
      <c r="X149" s="92"/>
      <c r="Y149" s="92"/>
      <c r="Z149" s="92"/>
      <c r="AA149" s="92"/>
      <c r="AB149" s="84"/>
      <c r="AC149" s="84"/>
      <c r="AD149" s="84"/>
    </row>
    <row r="150" spans="1:30">
      <c r="B150" s="105"/>
      <c r="C150" s="107" t="s">
        <v>707</v>
      </c>
      <c r="D150" s="107" t="s">
        <v>708</v>
      </c>
      <c r="E150" s="107" t="s">
        <v>709</v>
      </c>
      <c r="F150" s="107" t="s">
        <v>710</v>
      </c>
      <c r="G150" s="107">
        <v>1</v>
      </c>
      <c r="H150" s="107" t="s">
        <v>515</v>
      </c>
      <c r="I150" s="112">
        <v>1500000</v>
      </c>
      <c r="J150" s="84"/>
      <c r="K150" s="84"/>
      <c r="L150" s="92"/>
      <c r="M150" s="84"/>
      <c r="N150" s="92"/>
      <c r="O150" s="84">
        <v>1500000</v>
      </c>
      <c r="P150" s="84"/>
      <c r="Q150" s="92"/>
      <c r="R150" s="92"/>
      <c r="S150" s="92"/>
      <c r="T150" s="84"/>
      <c r="U150" s="93"/>
      <c r="V150" s="84"/>
      <c r="W150" s="92"/>
      <c r="X150" s="92"/>
      <c r="Y150" s="92"/>
      <c r="Z150" s="92"/>
      <c r="AA150" s="92"/>
      <c r="AB150" s="84"/>
      <c r="AC150" s="84"/>
      <c r="AD150" s="84"/>
    </row>
    <row r="151" spans="1:30">
      <c r="B151" s="105"/>
      <c r="C151" s="107" t="s">
        <v>612</v>
      </c>
      <c r="D151" s="107" t="s">
        <v>613</v>
      </c>
      <c r="E151" s="107" t="s">
        <v>614</v>
      </c>
      <c r="F151" s="107" t="s">
        <v>615</v>
      </c>
      <c r="G151" s="107">
        <v>1</v>
      </c>
      <c r="H151" s="107" t="s">
        <v>515</v>
      </c>
      <c r="I151" s="112">
        <v>1550000</v>
      </c>
      <c r="J151" s="84"/>
      <c r="K151" s="84"/>
      <c r="L151" s="92"/>
      <c r="M151" s="84"/>
      <c r="N151" s="92"/>
      <c r="O151" s="84"/>
      <c r="P151" s="84"/>
      <c r="Q151" s="92"/>
      <c r="R151" s="92"/>
      <c r="S151" s="92"/>
      <c r="T151" s="84"/>
      <c r="U151" s="93"/>
      <c r="V151" s="84"/>
      <c r="W151" s="92"/>
      <c r="X151" s="92"/>
      <c r="Y151" s="92"/>
      <c r="Z151" s="92"/>
      <c r="AA151" s="92"/>
      <c r="AB151" s="84">
        <v>1550000</v>
      </c>
      <c r="AC151" s="84"/>
      <c r="AD151" s="84"/>
    </row>
    <row r="152" spans="1:30">
      <c r="B152" s="105"/>
      <c r="C152" s="107" t="s">
        <v>650</v>
      </c>
      <c r="D152" s="107" t="s">
        <v>651</v>
      </c>
      <c r="E152" s="107" t="s">
        <v>652</v>
      </c>
      <c r="F152" s="107" t="s">
        <v>653</v>
      </c>
      <c r="G152" s="107">
        <v>1</v>
      </c>
      <c r="H152" s="107" t="s">
        <v>515</v>
      </c>
      <c r="I152" s="112">
        <v>1606000</v>
      </c>
      <c r="J152" s="84"/>
      <c r="K152" s="84"/>
      <c r="L152" s="92"/>
      <c r="M152" s="84"/>
      <c r="N152" s="92"/>
      <c r="O152" s="84">
        <v>1606000</v>
      </c>
      <c r="P152" s="84"/>
      <c r="Q152" s="92"/>
      <c r="R152" s="92"/>
      <c r="S152" s="92"/>
      <c r="T152" s="84"/>
      <c r="U152" s="93"/>
      <c r="V152" s="84"/>
      <c r="W152" s="92"/>
      <c r="X152" s="92"/>
      <c r="Y152" s="92"/>
      <c r="Z152" s="92"/>
      <c r="AA152" s="92"/>
      <c r="AB152" s="84"/>
      <c r="AC152" s="84"/>
      <c r="AD152" s="84"/>
    </row>
    <row r="153" spans="1:30">
      <c r="A153" t="s">
        <v>743</v>
      </c>
      <c r="B153" s="64" t="s">
        <v>275</v>
      </c>
      <c r="C153" s="64" t="s">
        <v>243</v>
      </c>
      <c r="D153" s="64" t="s">
        <v>244</v>
      </c>
      <c r="E153" s="64">
        <v>146000</v>
      </c>
      <c r="F153" s="64">
        <v>1606000</v>
      </c>
      <c r="G153" s="64">
        <v>1460000</v>
      </c>
      <c r="H153" s="64" t="s">
        <v>8</v>
      </c>
      <c r="I153" s="81">
        <v>1606000</v>
      </c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49">
        <v>0</v>
      </c>
      <c r="AD153" s="49">
        <v>-1460000</v>
      </c>
    </row>
    <row r="154" spans="1:30">
      <c r="B154" s="105"/>
      <c r="C154" s="107" t="s">
        <v>520</v>
      </c>
      <c r="D154" s="107" t="s">
        <v>521</v>
      </c>
      <c r="E154" s="107" t="s">
        <v>522</v>
      </c>
      <c r="F154" s="107" t="s">
        <v>523</v>
      </c>
      <c r="G154" s="107">
        <v>1</v>
      </c>
      <c r="H154" s="107" t="s">
        <v>515</v>
      </c>
      <c r="I154" s="112">
        <v>1644400</v>
      </c>
      <c r="J154" s="84"/>
      <c r="K154" s="84"/>
      <c r="L154" s="92"/>
      <c r="M154" s="84"/>
      <c r="N154" s="92"/>
      <c r="O154" s="84"/>
      <c r="P154" s="84"/>
      <c r="Q154" s="92"/>
      <c r="R154" s="92"/>
      <c r="S154" s="92">
        <v>1644400</v>
      </c>
      <c r="T154" s="84"/>
      <c r="U154" s="93"/>
      <c r="V154" s="84"/>
      <c r="W154" s="92"/>
      <c r="X154" s="92"/>
      <c r="Y154" s="92"/>
      <c r="Z154" s="92"/>
      <c r="AA154" s="92"/>
      <c r="AB154" s="84"/>
      <c r="AC154" s="84"/>
      <c r="AD154" s="84"/>
    </row>
    <row r="155" spans="1:30">
      <c r="A155" t="s">
        <v>743</v>
      </c>
      <c r="B155" s="64" t="s">
        <v>281</v>
      </c>
      <c r="C155" s="64" t="s">
        <v>59</v>
      </c>
      <c r="D155" s="64" t="s">
        <v>60</v>
      </c>
      <c r="E155" s="64">
        <v>0</v>
      </c>
      <c r="F155" s="64">
        <v>1748126.86</v>
      </c>
      <c r="G155" s="64">
        <v>1748126.86</v>
      </c>
      <c r="H155" s="64" t="s">
        <v>55</v>
      </c>
      <c r="I155" s="81">
        <v>1748126.86</v>
      </c>
      <c r="J155" s="65"/>
      <c r="K155" s="65">
        <v>1748126.86</v>
      </c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49">
        <v>1748126.86</v>
      </c>
      <c r="AD155" s="49">
        <v>0</v>
      </c>
    </row>
    <row r="156" spans="1:30">
      <c r="B156" s="105"/>
      <c r="C156" s="107" t="s">
        <v>689</v>
      </c>
      <c r="D156" s="107" t="s">
        <v>690</v>
      </c>
      <c r="E156" s="107" t="s">
        <v>691</v>
      </c>
      <c r="F156" s="107" t="s">
        <v>692</v>
      </c>
      <c r="G156" s="107">
        <v>1</v>
      </c>
      <c r="H156" s="107" t="s">
        <v>515</v>
      </c>
      <c r="I156" s="112">
        <v>1907518</v>
      </c>
      <c r="J156" s="84"/>
      <c r="K156" s="84"/>
      <c r="L156" s="92"/>
      <c r="M156" s="84"/>
      <c r="N156" s="92"/>
      <c r="O156" s="84"/>
      <c r="P156" s="84"/>
      <c r="Q156" s="92"/>
      <c r="R156" s="92"/>
      <c r="S156" s="92"/>
      <c r="T156" s="84">
        <v>1907518</v>
      </c>
      <c r="U156" s="93"/>
      <c r="V156" s="84"/>
      <c r="W156" s="92"/>
      <c r="X156" s="92"/>
      <c r="Y156" s="92"/>
      <c r="Z156" s="92"/>
      <c r="AA156" s="92"/>
      <c r="AB156" s="84"/>
      <c r="AC156" s="84"/>
      <c r="AD156" s="84"/>
    </row>
    <row r="157" spans="1:30">
      <c r="B157" s="105"/>
      <c r="C157" s="107" t="s">
        <v>688</v>
      </c>
      <c r="D157" s="107" t="s">
        <v>685</v>
      </c>
      <c r="E157" s="107" t="s">
        <v>686</v>
      </c>
      <c r="F157" s="107" t="s">
        <v>687</v>
      </c>
      <c r="G157" s="107">
        <v>1</v>
      </c>
      <c r="H157" s="107" t="s">
        <v>515</v>
      </c>
      <c r="I157" s="112">
        <v>2000000</v>
      </c>
      <c r="J157" s="84"/>
      <c r="K157" s="84"/>
      <c r="L157" s="92"/>
      <c r="M157" s="84"/>
      <c r="N157" s="92"/>
      <c r="O157" s="84"/>
      <c r="P157" s="84">
        <v>2000000</v>
      </c>
      <c r="Q157" s="92"/>
      <c r="R157" s="92"/>
      <c r="S157" s="92"/>
      <c r="T157" s="84"/>
      <c r="U157" s="93"/>
      <c r="V157" s="84"/>
      <c r="W157" s="92"/>
      <c r="X157" s="92"/>
      <c r="Y157" s="92"/>
      <c r="Z157" s="92"/>
      <c r="AA157" s="92"/>
      <c r="AB157" s="84"/>
      <c r="AC157" s="84"/>
      <c r="AD157" s="84"/>
    </row>
    <row r="158" spans="1:30">
      <c r="B158" s="105"/>
      <c r="C158" s="107" t="s">
        <v>606</v>
      </c>
      <c r="D158" s="107" t="s">
        <v>607</v>
      </c>
      <c r="E158" s="107" t="s">
        <v>530</v>
      </c>
      <c r="F158" s="107" t="s">
        <v>531</v>
      </c>
      <c r="G158" s="107">
        <v>1</v>
      </c>
      <c r="H158" s="107" t="s">
        <v>515</v>
      </c>
      <c r="I158" s="112">
        <v>2150000</v>
      </c>
      <c r="J158" s="84"/>
      <c r="K158" s="84"/>
      <c r="L158" s="92"/>
      <c r="M158" s="84"/>
      <c r="N158" s="92"/>
      <c r="O158" s="84"/>
      <c r="P158" s="84"/>
      <c r="Q158" s="92"/>
      <c r="R158" s="92"/>
      <c r="S158" s="92">
        <v>2150000</v>
      </c>
      <c r="T158" s="84"/>
      <c r="U158" s="93"/>
      <c r="V158" s="84"/>
      <c r="W158" s="92"/>
      <c r="X158" s="92"/>
      <c r="Y158" s="92"/>
      <c r="Z158" s="92"/>
      <c r="AA158" s="92"/>
      <c r="AB158" s="84"/>
      <c r="AC158" s="84"/>
      <c r="AD158" s="84"/>
    </row>
    <row r="159" spans="1:30">
      <c r="B159" s="105"/>
      <c r="C159" s="107" t="s">
        <v>604</v>
      </c>
      <c r="D159" s="107" t="s">
        <v>605</v>
      </c>
      <c r="E159" s="107" t="s">
        <v>522</v>
      </c>
      <c r="F159" s="107" t="s">
        <v>523</v>
      </c>
      <c r="G159" s="107">
        <v>1</v>
      </c>
      <c r="H159" s="107" t="s">
        <v>515</v>
      </c>
      <c r="I159" s="112">
        <v>2250000</v>
      </c>
      <c r="J159" s="84"/>
      <c r="K159" s="84"/>
      <c r="L159" s="92"/>
      <c r="M159" s="84"/>
      <c r="N159" s="92"/>
      <c r="O159" s="84"/>
      <c r="P159" s="84"/>
      <c r="Q159" s="92"/>
      <c r="R159" s="92"/>
      <c r="S159" s="92">
        <v>2250000</v>
      </c>
      <c r="T159" s="84"/>
      <c r="U159" s="93"/>
      <c r="V159" s="84"/>
      <c r="W159" s="92"/>
      <c r="X159" s="92"/>
      <c r="Y159" s="92"/>
      <c r="Z159" s="92"/>
      <c r="AA159" s="92"/>
      <c r="AB159" s="84"/>
      <c r="AC159" s="84"/>
      <c r="AD159" s="84"/>
    </row>
    <row r="160" spans="1:30">
      <c r="B160" s="105"/>
      <c r="C160" s="107" t="s">
        <v>586</v>
      </c>
      <c r="D160" s="107" t="s">
        <v>587</v>
      </c>
      <c r="E160" s="107" t="s">
        <v>588</v>
      </c>
      <c r="F160" s="107" t="s">
        <v>589</v>
      </c>
      <c r="G160" s="107">
        <v>1</v>
      </c>
      <c r="H160" s="107" t="s">
        <v>515</v>
      </c>
      <c r="I160" s="112">
        <v>2650000</v>
      </c>
      <c r="J160" s="84"/>
      <c r="K160" s="84"/>
      <c r="L160" s="92"/>
      <c r="M160" s="84"/>
      <c r="N160" s="92"/>
      <c r="O160" s="84"/>
      <c r="P160" s="84"/>
      <c r="Q160" s="92">
        <v>2650000</v>
      </c>
      <c r="R160" s="92"/>
      <c r="S160" s="92"/>
      <c r="T160" s="84"/>
      <c r="U160" s="93"/>
      <c r="V160" s="84"/>
      <c r="W160" s="92"/>
      <c r="X160" s="92"/>
      <c r="Y160" s="92"/>
      <c r="Z160" s="92"/>
      <c r="AA160" s="92"/>
      <c r="AB160" s="84"/>
      <c r="AC160" s="84"/>
      <c r="AD160" s="84"/>
    </row>
    <row r="161" spans="1:30">
      <c r="A161" t="s">
        <v>743</v>
      </c>
      <c r="B161" s="64" t="s">
        <v>240</v>
      </c>
      <c r="C161" s="64" t="s">
        <v>156</v>
      </c>
      <c r="D161" s="64" t="s">
        <v>157</v>
      </c>
      <c r="E161" s="64">
        <v>258254.54545500001</v>
      </c>
      <c r="F161" s="64">
        <v>2840800</v>
      </c>
      <c r="G161" s="64">
        <v>2582545.4545450001</v>
      </c>
      <c r="H161" s="64" t="s">
        <v>8</v>
      </c>
      <c r="I161" s="81">
        <v>2840800</v>
      </c>
      <c r="J161" s="65"/>
      <c r="K161" s="64"/>
      <c r="L161" s="64"/>
      <c r="M161" s="64"/>
      <c r="N161" s="64"/>
      <c r="O161" s="64"/>
      <c r="P161" s="64"/>
      <c r="Q161" s="65">
        <v>2582545.4545450001</v>
      </c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49">
        <v>2582545.4545450001</v>
      </c>
      <c r="AD161" s="49">
        <v>0</v>
      </c>
    </row>
    <row r="162" spans="1:30">
      <c r="B162" s="105"/>
      <c r="C162" s="107" t="s">
        <v>620</v>
      </c>
      <c r="D162" s="107" t="s">
        <v>621</v>
      </c>
      <c r="E162" s="107" t="s">
        <v>622</v>
      </c>
      <c r="F162" s="107" t="s">
        <v>623</v>
      </c>
      <c r="G162" s="107">
        <v>1</v>
      </c>
      <c r="H162" s="107" t="s">
        <v>515</v>
      </c>
      <c r="I162" s="112">
        <v>3115000</v>
      </c>
      <c r="J162" s="84"/>
      <c r="K162" s="84"/>
      <c r="L162" s="92"/>
      <c r="M162" s="84"/>
      <c r="N162" s="92"/>
      <c r="O162" s="84"/>
      <c r="P162" s="84"/>
      <c r="Q162" s="92"/>
      <c r="R162" s="92">
        <v>3115000</v>
      </c>
      <c r="S162" s="92"/>
      <c r="T162" s="84"/>
      <c r="U162" s="93"/>
      <c r="V162" s="84"/>
      <c r="W162" s="92"/>
      <c r="X162" s="92"/>
      <c r="Y162" s="92"/>
      <c r="Z162" s="92"/>
      <c r="AA162" s="92"/>
      <c r="AB162" s="84"/>
      <c r="AC162" s="84"/>
      <c r="AD162" s="84"/>
    </row>
    <row r="163" spans="1:30">
      <c r="A163" t="s">
        <v>743</v>
      </c>
      <c r="B163" s="64" t="s">
        <v>268</v>
      </c>
      <c r="C163" s="64" t="s">
        <v>178</v>
      </c>
      <c r="D163" s="64" t="s">
        <v>179</v>
      </c>
      <c r="E163" s="64">
        <v>283181.82</v>
      </c>
      <c r="F163" s="64">
        <v>3115000</v>
      </c>
      <c r="G163" s="64">
        <v>2831818.18</v>
      </c>
      <c r="H163" s="64" t="s">
        <v>8</v>
      </c>
      <c r="I163" s="81">
        <v>3115000</v>
      </c>
      <c r="J163" s="65"/>
      <c r="K163" s="64"/>
      <c r="L163" s="64"/>
      <c r="M163" s="64"/>
      <c r="N163" s="82"/>
      <c r="O163" s="64"/>
      <c r="P163" s="64"/>
      <c r="Q163" s="64"/>
      <c r="R163" s="65">
        <v>2831818.18</v>
      </c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49">
        <v>2831818.18</v>
      </c>
      <c r="AD163" s="49">
        <v>0</v>
      </c>
    </row>
    <row r="164" spans="1:30">
      <c r="B164" s="105"/>
      <c r="C164" s="107" t="s">
        <v>560</v>
      </c>
      <c r="D164" s="107" t="s">
        <v>561</v>
      </c>
      <c r="E164" s="107" t="s">
        <v>562</v>
      </c>
      <c r="F164" s="107" t="s">
        <v>563</v>
      </c>
      <c r="G164" s="107">
        <v>1</v>
      </c>
      <c r="H164" s="107" t="s">
        <v>515</v>
      </c>
      <c r="I164" s="112">
        <v>3160000</v>
      </c>
      <c r="J164" s="84"/>
      <c r="K164" s="84"/>
      <c r="L164" s="92"/>
      <c r="M164" s="84"/>
      <c r="N164" s="92"/>
      <c r="O164" s="84"/>
      <c r="P164" s="84"/>
      <c r="Q164" s="92"/>
      <c r="R164" s="92"/>
      <c r="S164" s="92"/>
      <c r="T164" s="84">
        <v>3160000</v>
      </c>
      <c r="U164" s="93"/>
      <c r="V164" s="84"/>
      <c r="W164" s="92"/>
      <c r="X164" s="92"/>
      <c r="Y164" s="92"/>
      <c r="Z164" s="92"/>
      <c r="AA164" s="92"/>
      <c r="AB164" s="84"/>
      <c r="AC164" s="84"/>
      <c r="AD164" s="84"/>
    </row>
    <row r="165" spans="1:30">
      <c r="B165" s="105"/>
      <c r="C165" s="107" t="s">
        <v>684</v>
      </c>
      <c r="D165" s="107" t="s">
        <v>685</v>
      </c>
      <c r="E165" s="107" t="s">
        <v>686</v>
      </c>
      <c r="F165" s="107" t="s">
        <v>687</v>
      </c>
      <c r="G165" s="107">
        <v>1</v>
      </c>
      <c r="H165" s="107" t="s">
        <v>515</v>
      </c>
      <c r="I165" s="112">
        <v>4232000</v>
      </c>
      <c r="J165" s="84"/>
      <c r="K165" s="84"/>
      <c r="L165" s="92"/>
      <c r="M165" s="84"/>
      <c r="N165" s="92"/>
      <c r="O165" s="84"/>
      <c r="P165" s="84">
        <v>4232000</v>
      </c>
      <c r="Q165" s="92"/>
      <c r="R165" s="92"/>
      <c r="S165" s="92"/>
      <c r="T165" s="84"/>
      <c r="U165" s="93"/>
      <c r="V165" s="84"/>
      <c r="W165" s="92"/>
      <c r="X165" s="92"/>
      <c r="Y165" s="92"/>
      <c r="Z165" s="92"/>
      <c r="AA165" s="92"/>
      <c r="AB165" s="84"/>
      <c r="AC165" s="84"/>
      <c r="AD165" s="84"/>
    </row>
    <row r="166" spans="1:30">
      <c r="A166" t="s">
        <v>743</v>
      </c>
      <c r="B166" s="64" t="s">
        <v>268</v>
      </c>
      <c r="C166" s="64" t="s">
        <v>273</v>
      </c>
      <c r="D166" s="64" t="s">
        <v>274</v>
      </c>
      <c r="E166" s="64">
        <v>404536.36363600002</v>
      </c>
      <c r="F166" s="64">
        <v>4449900</v>
      </c>
      <c r="G166" s="64">
        <v>4045363.6363639999</v>
      </c>
      <c r="H166" s="64" t="s">
        <v>8</v>
      </c>
      <c r="I166" s="81">
        <v>4449900</v>
      </c>
      <c r="J166" s="82"/>
      <c r="K166" s="64"/>
      <c r="L166" s="64"/>
      <c r="M166" s="64"/>
      <c r="N166" s="65">
        <v>4045363.6363639999</v>
      </c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49">
        <v>4045363.6363639999</v>
      </c>
      <c r="AD166" s="49">
        <v>0</v>
      </c>
    </row>
    <row r="167" spans="1:30">
      <c r="B167" s="105"/>
      <c r="C167" s="107" t="s">
        <v>582</v>
      </c>
      <c r="D167" s="107" t="s">
        <v>583</v>
      </c>
      <c r="E167" s="107" t="s">
        <v>558</v>
      </c>
      <c r="F167" s="107" t="s">
        <v>559</v>
      </c>
      <c r="G167" s="107">
        <v>1</v>
      </c>
      <c r="H167" s="107" t="s">
        <v>515</v>
      </c>
      <c r="I167" s="112">
        <v>4500000</v>
      </c>
      <c r="J167" s="84"/>
      <c r="K167" s="84"/>
      <c r="L167" s="92"/>
      <c r="M167" s="84"/>
      <c r="N167" s="92"/>
      <c r="O167" s="84"/>
      <c r="P167" s="84"/>
      <c r="Q167" s="92"/>
      <c r="R167" s="92"/>
      <c r="S167" s="92"/>
      <c r="T167" s="84"/>
      <c r="U167" s="93"/>
      <c r="V167" s="84">
        <v>4500000</v>
      </c>
      <c r="W167" s="92"/>
      <c r="X167" s="92"/>
      <c r="Y167" s="92"/>
      <c r="Z167" s="92"/>
      <c r="AA167" s="92"/>
      <c r="AB167" s="84"/>
      <c r="AC167" s="84"/>
      <c r="AD167" s="84"/>
    </row>
    <row r="168" spans="1:30">
      <c r="B168" s="105"/>
      <c r="C168" s="107" t="s">
        <v>699</v>
      </c>
      <c r="D168" s="107" t="s">
        <v>700</v>
      </c>
      <c r="E168" s="107" t="s">
        <v>701</v>
      </c>
      <c r="F168" s="107" t="s">
        <v>702</v>
      </c>
      <c r="G168" s="107">
        <v>1</v>
      </c>
      <c r="H168" s="107" t="s">
        <v>515</v>
      </c>
      <c r="I168" s="112">
        <v>4960000</v>
      </c>
      <c r="J168" s="84"/>
      <c r="K168" s="84"/>
      <c r="L168" s="92"/>
      <c r="M168" s="84"/>
      <c r="N168" s="92"/>
      <c r="O168" s="84">
        <v>4960000</v>
      </c>
      <c r="P168" s="84"/>
      <c r="Q168" s="92"/>
      <c r="R168" s="92"/>
      <c r="S168" s="92"/>
      <c r="T168" s="84"/>
      <c r="U168" s="93"/>
      <c r="V168" s="84"/>
      <c r="W168" s="92"/>
      <c r="X168" s="92"/>
      <c r="Y168" s="92"/>
      <c r="Z168" s="92"/>
      <c r="AA168" s="92"/>
      <c r="AB168" s="84"/>
      <c r="AC168" s="84"/>
      <c r="AD168" s="84"/>
    </row>
    <row r="169" spans="1:30">
      <c r="A169" t="s">
        <v>743</v>
      </c>
      <c r="B169" s="64" t="s">
        <v>255</v>
      </c>
      <c r="C169" s="64" t="s">
        <v>256</v>
      </c>
      <c r="D169" s="64" t="s">
        <v>257</v>
      </c>
      <c r="E169" s="64">
        <v>0</v>
      </c>
      <c r="F169" s="64">
        <v>4960000</v>
      </c>
      <c r="G169" s="64">
        <v>4960000</v>
      </c>
      <c r="H169" s="64" t="s">
        <v>8</v>
      </c>
      <c r="I169" s="81">
        <v>4960000</v>
      </c>
      <c r="J169" s="64"/>
      <c r="K169" s="65"/>
      <c r="L169" s="64"/>
      <c r="M169" s="64"/>
      <c r="N169" s="64"/>
      <c r="O169" s="65">
        <v>4960000</v>
      </c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49">
        <v>4960000</v>
      </c>
      <c r="AD169" s="49">
        <v>0</v>
      </c>
    </row>
    <row r="170" spans="1:30">
      <c r="B170" s="105"/>
      <c r="C170" s="107" t="s">
        <v>570</v>
      </c>
      <c r="D170" s="107" t="s">
        <v>571</v>
      </c>
      <c r="E170" s="107" t="s">
        <v>572</v>
      </c>
      <c r="F170" s="107" t="s">
        <v>573</v>
      </c>
      <c r="G170" s="107">
        <v>1</v>
      </c>
      <c r="H170" s="107" t="s">
        <v>515</v>
      </c>
      <c r="I170" s="112">
        <v>6400000</v>
      </c>
      <c r="J170" s="84"/>
      <c r="K170" s="84"/>
      <c r="L170" s="92"/>
      <c r="M170" s="84"/>
      <c r="N170" s="92"/>
      <c r="O170" s="84"/>
      <c r="P170" s="84"/>
      <c r="Q170" s="92"/>
      <c r="R170" s="92"/>
      <c r="S170" s="92"/>
      <c r="T170" s="84">
        <v>6400000</v>
      </c>
      <c r="U170" s="93"/>
      <c r="V170" s="84"/>
      <c r="W170" s="92"/>
      <c r="X170" s="92"/>
      <c r="Y170" s="92"/>
      <c r="Z170" s="92"/>
      <c r="AA170" s="92"/>
      <c r="AB170" s="84"/>
      <c r="AC170" s="84"/>
      <c r="AD170" s="84"/>
    </row>
    <row r="171" spans="1:30">
      <c r="A171" t="s">
        <v>743</v>
      </c>
      <c r="B171" s="64" t="s">
        <v>278</v>
      </c>
      <c r="C171" s="64" t="s">
        <v>64</v>
      </c>
      <c r="D171" s="64" t="s">
        <v>65</v>
      </c>
      <c r="E171" s="64">
        <v>0</v>
      </c>
      <c r="F171" s="64">
        <v>8579898.7400000002</v>
      </c>
      <c r="G171" s="64">
        <v>8579898.7400000002</v>
      </c>
      <c r="H171" s="64" t="s">
        <v>55</v>
      </c>
      <c r="I171" s="81">
        <v>8579898.7400000002</v>
      </c>
      <c r="J171" s="64"/>
      <c r="K171" s="65">
        <v>8579898.7400000002</v>
      </c>
      <c r="L171" s="65"/>
      <c r="M171" s="64"/>
      <c r="N171" s="65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49">
        <v>8579898.7400000002</v>
      </c>
      <c r="AD171" s="49">
        <v>0</v>
      </c>
    </row>
    <row r="172" spans="1:30" ht="62">
      <c r="B172" s="105"/>
      <c r="C172" s="109" t="s">
        <v>725</v>
      </c>
      <c r="D172" s="109" t="s">
        <v>726</v>
      </c>
      <c r="E172" s="109" t="s">
        <v>727</v>
      </c>
      <c r="F172" s="109" t="s">
        <v>728</v>
      </c>
      <c r="G172" s="109" t="s">
        <v>729</v>
      </c>
      <c r="H172" s="109" t="s">
        <v>730</v>
      </c>
      <c r="I172" s="114" t="s">
        <v>731</v>
      </c>
      <c r="J172" s="94" t="s">
        <v>17</v>
      </c>
      <c r="K172" s="94" t="s">
        <v>732</v>
      </c>
      <c r="L172" s="95" t="s">
        <v>18</v>
      </c>
      <c r="M172" s="94" t="s">
        <v>733</v>
      </c>
      <c r="N172" s="95" t="s">
        <v>20</v>
      </c>
      <c r="O172" s="94" t="s">
        <v>21</v>
      </c>
      <c r="P172" s="96" t="s">
        <v>22</v>
      </c>
      <c r="Q172" s="95" t="s">
        <v>23</v>
      </c>
      <c r="R172" s="97" t="s">
        <v>24</v>
      </c>
      <c r="S172" s="98" t="s">
        <v>734</v>
      </c>
      <c r="T172" s="99" t="s">
        <v>62</v>
      </c>
      <c r="U172" s="100" t="s">
        <v>735</v>
      </c>
      <c r="V172" s="95" t="s">
        <v>736</v>
      </c>
      <c r="W172" s="92" t="s">
        <v>737</v>
      </c>
      <c r="X172" s="92" t="s">
        <v>738</v>
      </c>
      <c r="Y172" s="92" t="s">
        <v>739</v>
      </c>
      <c r="Z172" s="92" t="s">
        <v>740</v>
      </c>
      <c r="AA172" s="101" t="s">
        <v>741</v>
      </c>
      <c r="AB172" s="92" t="s">
        <v>742</v>
      </c>
      <c r="AC172" s="84"/>
      <c r="AD172" s="84"/>
    </row>
  </sheetData>
  <autoFilter ref="A1:AD17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D144"/>
  <sheetViews>
    <sheetView topLeftCell="A122" zoomScale="85" zoomScaleNormal="85" workbookViewId="0">
      <selection activeCell="Q141" sqref="Q141"/>
    </sheetView>
  </sheetViews>
  <sheetFormatPr defaultRowHeight="15.5"/>
  <sheetData>
    <row r="5" spans="1:30" ht="14.25" customHeight="1">
      <c r="A5" s="160" t="s">
        <v>342</v>
      </c>
      <c r="B5" s="141" t="s">
        <v>68</v>
      </c>
      <c r="C5" s="141" t="s">
        <v>69</v>
      </c>
      <c r="D5" s="141">
        <v>0</v>
      </c>
      <c r="E5" s="141">
        <v>2000</v>
      </c>
      <c r="F5" s="141">
        <v>2000</v>
      </c>
      <c r="G5" s="141" t="s">
        <v>55</v>
      </c>
      <c r="H5" s="145">
        <v>2000</v>
      </c>
      <c r="I5" s="70">
        <v>2000</v>
      </c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6">
        <f t="shared" ref="AB5:AB36" si="0">SUM(I5:AA5)</f>
        <v>2000</v>
      </c>
      <c r="AC5" s="6">
        <f t="shared" ref="AC5:AC36" si="1">+AB5-H5</f>
        <v>0</v>
      </c>
      <c r="AD5" s="141" t="s">
        <v>743</v>
      </c>
    </row>
    <row r="6" spans="1:30" ht="14.25" customHeight="1">
      <c r="A6" s="141" t="s">
        <v>342</v>
      </c>
      <c r="B6" s="141" t="s">
        <v>156</v>
      </c>
      <c r="C6" s="141" t="s">
        <v>157</v>
      </c>
      <c r="D6" s="141">
        <v>2727.27</v>
      </c>
      <c r="E6" s="141">
        <v>30000</v>
      </c>
      <c r="F6" s="141">
        <v>27272.73</v>
      </c>
      <c r="G6" s="141" t="s">
        <v>8</v>
      </c>
      <c r="H6" s="145">
        <f t="shared" ref="H6:H30" si="2">+E6-D6</f>
        <v>27272.73</v>
      </c>
      <c r="I6" s="70"/>
      <c r="J6" s="141"/>
      <c r="K6" s="141"/>
      <c r="L6" s="141"/>
      <c r="M6" s="141"/>
      <c r="N6" s="141"/>
      <c r="O6" s="141"/>
      <c r="P6" s="142">
        <f>+H6</f>
        <v>27272.73</v>
      </c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6">
        <f t="shared" si="0"/>
        <v>27272.73</v>
      </c>
      <c r="AC6" s="6">
        <f t="shared" si="1"/>
        <v>0</v>
      </c>
      <c r="AD6" s="141" t="s">
        <v>743</v>
      </c>
    </row>
    <row r="7" spans="1:30" ht="14.25" customHeight="1">
      <c r="A7" s="141" t="s">
        <v>342</v>
      </c>
      <c r="B7" s="141" t="s">
        <v>156</v>
      </c>
      <c r="C7" s="141" t="s">
        <v>157</v>
      </c>
      <c r="D7" s="141">
        <v>2727.27</v>
      </c>
      <c r="E7" s="141">
        <v>30000</v>
      </c>
      <c r="F7" s="141">
        <v>27272.73</v>
      </c>
      <c r="G7" s="141" t="s">
        <v>8</v>
      </c>
      <c r="H7" s="145">
        <f t="shared" si="2"/>
        <v>27272.73</v>
      </c>
      <c r="I7" s="70"/>
      <c r="J7" s="141"/>
      <c r="K7" s="141"/>
      <c r="L7" s="141"/>
      <c r="M7" s="141"/>
      <c r="N7" s="141"/>
      <c r="O7" s="141"/>
      <c r="P7" s="142">
        <f>+H7</f>
        <v>27272.73</v>
      </c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6">
        <f t="shared" si="0"/>
        <v>27272.73</v>
      </c>
      <c r="AC7" s="6">
        <f t="shared" si="1"/>
        <v>0</v>
      </c>
      <c r="AD7" s="141" t="s">
        <v>743</v>
      </c>
    </row>
    <row r="8" spans="1:30" ht="14.25" customHeight="1">
      <c r="A8" s="141" t="s">
        <v>342</v>
      </c>
      <c r="B8" s="141" t="s">
        <v>276</v>
      </c>
      <c r="C8" s="141" t="s">
        <v>277</v>
      </c>
      <c r="D8" s="141">
        <v>2727.27</v>
      </c>
      <c r="E8" s="141">
        <v>30000</v>
      </c>
      <c r="F8" s="141">
        <v>27272.73</v>
      </c>
      <c r="G8" s="141" t="s">
        <v>8</v>
      </c>
      <c r="H8" s="145">
        <f t="shared" si="2"/>
        <v>27272.73</v>
      </c>
      <c r="I8" s="141"/>
      <c r="J8" s="141"/>
      <c r="K8" s="141"/>
      <c r="L8" s="141"/>
      <c r="M8" s="141"/>
      <c r="N8" s="141"/>
      <c r="O8" s="142">
        <f>+H8</f>
        <v>27272.73</v>
      </c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6">
        <f t="shared" si="0"/>
        <v>27272.73</v>
      </c>
      <c r="AC8" s="6">
        <f t="shared" si="1"/>
        <v>0</v>
      </c>
      <c r="AD8" s="141" t="s">
        <v>743</v>
      </c>
    </row>
    <row r="9" spans="1:30" ht="14.25" customHeight="1">
      <c r="A9" s="141" t="s">
        <v>342</v>
      </c>
      <c r="B9" s="141" t="s">
        <v>10</v>
      </c>
      <c r="C9" s="141" t="s">
        <v>11</v>
      </c>
      <c r="D9" s="141">
        <v>7386.73</v>
      </c>
      <c r="E9" s="141">
        <v>81254</v>
      </c>
      <c r="F9" s="141">
        <v>73867.27</v>
      </c>
      <c r="G9" s="141" t="s">
        <v>8</v>
      </c>
      <c r="H9" s="145">
        <f t="shared" si="2"/>
        <v>73867.27</v>
      </c>
      <c r="I9" s="70"/>
      <c r="J9" s="141"/>
      <c r="K9" s="141"/>
      <c r="L9" s="141"/>
      <c r="M9" s="141"/>
      <c r="N9" s="141"/>
      <c r="O9" s="141"/>
      <c r="P9" s="142">
        <f>+H9</f>
        <v>73867.27</v>
      </c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6">
        <f t="shared" si="0"/>
        <v>73867.27</v>
      </c>
      <c r="AC9" s="6">
        <f t="shared" si="1"/>
        <v>0</v>
      </c>
      <c r="AD9" s="141" t="s">
        <v>743</v>
      </c>
    </row>
    <row r="10" spans="1:30" ht="14.25" customHeight="1">
      <c r="A10" s="141" t="s">
        <v>342</v>
      </c>
      <c r="B10" s="141" t="s">
        <v>308</v>
      </c>
      <c r="C10" s="141" t="s">
        <v>309</v>
      </c>
      <c r="D10" s="141">
        <v>35062.5</v>
      </c>
      <c r="E10" s="141">
        <v>392700</v>
      </c>
      <c r="F10" s="141">
        <v>357637.5</v>
      </c>
      <c r="G10" s="141" t="s">
        <v>8</v>
      </c>
      <c r="H10" s="145">
        <f t="shared" si="2"/>
        <v>357637.5</v>
      </c>
      <c r="I10" s="142">
        <f>+H10</f>
        <v>357637.5</v>
      </c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6">
        <f t="shared" si="0"/>
        <v>357637.5</v>
      </c>
      <c r="AC10" s="6">
        <f t="shared" si="1"/>
        <v>0</v>
      </c>
      <c r="AD10" s="141" t="s">
        <v>743</v>
      </c>
    </row>
    <row r="11" spans="1:30" ht="14.25" customHeight="1">
      <c r="A11" s="141" t="s">
        <v>339</v>
      </c>
      <c r="B11" s="141" t="s">
        <v>156</v>
      </c>
      <c r="C11" s="141" t="s">
        <v>157</v>
      </c>
      <c r="D11" s="141">
        <v>4545.45</v>
      </c>
      <c r="E11" s="141">
        <v>50000</v>
      </c>
      <c r="F11" s="141">
        <v>45454.55</v>
      </c>
      <c r="G11" s="141" t="s">
        <v>8</v>
      </c>
      <c r="H11" s="145">
        <f t="shared" si="2"/>
        <v>45454.55</v>
      </c>
      <c r="I11" s="70"/>
      <c r="J11" s="141"/>
      <c r="K11" s="141"/>
      <c r="L11" s="141"/>
      <c r="M11" s="141"/>
      <c r="N11" s="141"/>
      <c r="O11" s="141"/>
      <c r="P11" s="142">
        <f>+H11</f>
        <v>45454.55</v>
      </c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6">
        <f t="shared" si="0"/>
        <v>45454.55</v>
      </c>
      <c r="AC11" s="6">
        <f t="shared" si="1"/>
        <v>0</v>
      </c>
      <c r="AD11" s="141" t="s">
        <v>743</v>
      </c>
    </row>
    <row r="12" spans="1:30" ht="14.25" customHeight="1">
      <c r="A12" s="141" t="s">
        <v>339</v>
      </c>
      <c r="B12" s="141" t="s">
        <v>340</v>
      </c>
      <c r="C12" s="141" t="s">
        <v>341</v>
      </c>
      <c r="D12" s="141">
        <v>24490.91</v>
      </c>
      <c r="E12" s="141">
        <v>269400</v>
      </c>
      <c r="F12" s="141">
        <v>244909.09</v>
      </c>
      <c r="G12" s="141" t="s">
        <v>8</v>
      </c>
      <c r="H12" s="145">
        <f t="shared" si="2"/>
        <v>244909.09</v>
      </c>
      <c r="I12" s="141"/>
      <c r="J12" s="141"/>
      <c r="K12" s="141"/>
      <c r="L12" s="141"/>
      <c r="M12" s="142">
        <f>+H12</f>
        <v>244909.09</v>
      </c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6">
        <f t="shared" si="0"/>
        <v>244909.09</v>
      </c>
      <c r="AC12" s="6">
        <f t="shared" si="1"/>
        <v>0</v>
      </c>
      <c r="AD12" s="141" t="s">
        <v>743</v>
      </c>
    </row>
    <row r="13" spans="1:30" ht="12.75" customHeight="1">
      <c r="A13" s="141" t="s">
        <v>338</v>
      </c>
      <c r="B13" s="141" t="s">
        <v>94</v>
      </c>
      <c r="C13" s="141" t="s">
        <v>95</v>
      </c>
      <c r="D13" s="141">
        <v>2727.27</v>
      </c>
      <c r="E13" s="141">
        <v>30000</v>
      </c>
      <c r="F13" s="141">
        <v>27272.73</v>
      </c>
      <c r="G13" s="141" t="s">
        <v>8</v>
      </c>
      <c r="H13" s="145">
        <f t="shared" si="2"/>
        <v>27272.73</v>
      </c>
      <c r="I13" s="70"/>
      <c r="J13" s="141"/>
      <c r="K13" s="141"/>
      <c r="L13" s="141"/>
      <c r="M13" s="141"/>
      <c r="N13" s="141"/>
      <c r="O13" s="141"/>
      <c r="P13" s="142">
        <f>+H13</f>
        <v>27272.73</v>
      </c>
      <c r="Q13" s="141"/>
      <c r="R13" s="143"/>
      <c r="S13" s="141"/>
      <c r="T13" s="144"/>
      <c r="U13" s="143"/>
      <c r="V13" s="143"/>
      <c r="W13" s="143"/>
      <c r="X13" s="143"/>
      <c r="Y13" s="143"/>
      <c r="Z13" s="143"/>
      <c r="AA13" s="141"/>
      <c r="AB13" s="6">
        <f t="shared" si="0"/>
        <v>27272.73</v>
      </c>
      <c r="AC13" s="6">
        <f t="shared" si="1"/>
        <v>0</v>
      </c>
      <c r="AD13" s="141"/>
    </row>
    <row r="14" spans="1:30" ht="12.75" customHeight="1">
      <c r="A14" s="141" t="s">
        <v>338</v>
      </c>
      <c r="B14" s="141" t="s">
        <v>335</v>
      </c>
      <c r="C14" s="141" t="s">
        <v>336</v>
      </c>
      <c r="D14" s="141">
        <v>0</v>
      </c>
      <c r="E14" s="141">
        <v>47000</v>
      </c>
      <c r="F14" s="141">
        <v>47000</v>
      </c>
      <c r="G14" s="141" t="s">
        <v>8</v>
      </c>
      <c r="H14" s="145">
        <f t="shared" si="2"/>
        <v>47000</v>
      </c>
      <c r="I14" s="141"/>
      <c r="J14" s="141"/>
      <c r="K14" s="141"/>
      <c r="L14" s="141"/>
      <c r="M14" s="142">
        <f>+H14</f>
        <v>47000</v>
      </c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6">
        <f t="shared" si="0"/>
        <v>47000</v>
      </c>
      <c r="AC14" s="6">
        <f t="shared" si="1"/>
        <v>0</v>
      </c>
      <c r="AD14" s="141" t="s">
        <v>743</v>
      </c>
    </row>
    <row r="15" spans="1:30" ht="12.75" customHeight="1">
      <c r="A15" s="141" t="s">
        <v>338</v>
      </c>
      <c r="B15" s="141" t="s">
        <v>97</v>
      </c>
      <c r="C15" s="141" t="s">
        <v>98</v>
      </c>
      <c r="D15" s="141">
        <v>6363.64</v>
      </c>
      <c r="E15" s="141">
        <v>70000</v>
      </c>
      <c r="F15" s="141">
        <v>63636.36</v>
      </c>
      <c r="G15" s="141" t="s">
        <v>8</v>
      </c>
      <c r="H15" s="145">
        <f t="shared" si="2"/>
        <v>63636.36</v>
      </c>
      <c r="I15" s="141"/>
      <c r="J15" s="141"/>
      <c r="K15" s="141"/>
      <c r="L15" s="141"/>
      <c r="M15" s="141"/>
      <c r="N15" s="141"/>
      <c r="O15" s="142">
        <f>+H15</f>
        <v>63636.36</v>
      </c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6">
        <f t="shared" si="0"/>
        <v>63636.36</v>
      </c>
      <c r="AC15" s="6">
        <f t="shared" si="1"/>
        <v>0</v>
      </c>
      <c r="AD15" s="141" t="s">
        <v>743</v>
      </c>
    </row>
    <row r="16" spans="1:30" ht="12.75" customHeight="1">
      <c r="A16" s="141" t="s">
        <v>338</v>
      </c>
      <c r="B16" s="141" t="s">
        <v>249</v>
      </c>
      <c r="C16" s="141" t="s">
        <v>250</v>
      </c>
      <c r="D16" s="141">
        <v>6500</v>
      </c>
      <c r="E16" s="141">
        <v>71500</v>
      </c>
      <c r="F16" s="141">
        <v>65000</v>
      </c>
      <c r="G16" s="141" t="s">
        <v>8</v>
      </c>
      <c r="H16" s="145">
        <f t="shared" si="2"/>
        <v>65000</v>
      </c>
      <c r="I16" s="141"/>
      <c r="J16" s="141"/>
      <c r="K16" s="141"/>
      <c r="L16" s="141"/>
      <c r="M16" s="141"/>
      <c r="N16" s="141"/>
      <c r="O16" s="70">
        <v>65000</v>
      </c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6">
        <f t="shared" si="0"/>
        <v>65000</v>
      </c>
      <c r="AC16" s="6">
        <f t="shared" si="1"/>
        <v>0</v>
      </c>
      <c r="AD16" s="141" t="s">
        <v>743</v>
      </c>
    </row>
    <row r="17" spans="1:30" ht="12.75" customHeight="1">
      <c r="A17" s="141" t="s">
        <v>338</v>
      </c>
      <c r="B17" s="141" t="s">
        <v>103</v>
      </c>
      <c r="C17" s="141" t="s">
        <v>104</v>
      </c>
      <c r="D17" s="141">
        <v>7347.24</v>
      </c>
      <c r="E17" s="141">
        <v>80900</v>
      </c>
      <c r="F17" s="141">
        <v>73552.759999999995</v>
      </c>
      <c r="G17" s="141" t="s">
        <v>8</v>
      </c>
      <c r="H17" s="145">
        <f t="shared" si="2"/>
        <v>73552.759999999995</v>
      </c>
      <c r="I17" s="141"/>
      <c r="J17" s="141"/>
      <c r="K17" s="142">
        <f>+H17</f>
        <v>73552.759999999995</v>
      </c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6">
        <f t="shared" si="0"/>
        <v>73552.759999999995</v>
      </c>
      <c r="AC17" s="6">
        <f t="shared" si="1"/>
        <v>0</v>
      </c>
      <c r="AD17" s="141" t="s">
        <v>743</v>
      </c>
    </row>
    <row r="18" spans="1:30" ht="13.5" customHeight="1">
      <c r="A18" s="141" t="s">
        <v>338</v>
      </c>
      <c r="B18" s="141" t="s">
        <v>89</v>
      </c>
      <c r="C18" s="141" t="s">
        <v>90</v>
      </c>
      <c r="D18" s="141">
        <v>11232.142857000001</v>
      </c>
      <c r="E18" s="141">
        <v>125800</v>
      </c>
      <c r="F18" s="141">
        <v>114567.857143</v>
      </c>
      <c r="G18" s="141" t="s">
        <v>8</v>
      </c>
      <c r="H18" s="145">
        <f t="shared" si="2"/>
        <v>114567.857143</v>
      </c>
      <c r="I18" s="70">
        <v>114567.857143</v>
      </c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6">
        <f t="shared" si="0"/>
        <v>114567.857143</v>
      </c>
      <c r="AC18" s="6">
        <f t="shared" si="1"/>
        <v>0</v>
      </c>
      <c r="AD18" s="141" t="s">
        <v>743</v>
      </c>
    </row>
    <row r="19" spans="1:30" ht="13.5" customHeight="1">
      <c r="A19" s="141" t="s">
        <v>338</v>
      </c>
      <c r="B19" s="141" t="s">
        <v>140</v>
      </c>
      <c r="C19" s="141" t="s">
        <v>141</v>
      </c>
      <c r="D19" s="141">
        <v>0</v>
      </c>
      <c r="E19" s="141">
        <v>475000</v>
      </c>
      <c r="F19" s="141">
        <v>475000</v>
      </c>
      <c r="G19" s="141" t="s">
        <v>55</v>
      </c>
      <c r="H19" s="145">
        <f t="shared" si="2"/>
        <v>475000</v>
      </c>
      <c r="I19" s="141"/>
      <c r="J19" s="141"/>
      <c r="K19" s="141"/>
      <c r="L19" s="141"/>
      <c r="M19" s="141"/>
      <c r="N19" s="141"/>
      <c r="O19" s="141"/>
      <c r="P19" s="142">
        <f>+H19</f>
        <v>475000</v>
      </c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6">
        <f t="shared" si="0"/>
        <v>475000</v>
      </c>
      <c r="AC19" s="6">
        <f t="shared" si="1"/>
        <v>0</v>
      </c>
      <c r="AD19" s="141" t="s">
        <v>743</v>
      </c>
    </row>
    <row r="20" spans="1:30" ht="13.5" customHeight="1">
      <c r="A20" s="141" t="s">
        <v>337</v>
      </c>
      <c r="B20" s="141" t="s">
        <v>103</v>
      </c>
      <c r="C20" s="141" t="s">
        <v>104</v>
      </c>
      <c r="D20" s="141">
        <v>1263.6400000000001</v>
      </c>
      <c r="E20" s="141">
        <v>13900</v>
      </c>
      <c r="F20" s="141">
        <v>12636.36</v>
      </c>
      <c r="G20" s="141" t="s">
        <v>8</v>
      </c>
      <c r="H20" s="145">
        <f t="shared" si="2"/>
        <v>12636.36</v>
      </c>
      <c r="I20" s="141"/>
      <c r="J20" s="141"/>
      <c r="K20" s="142">
        <f>+H20</f>
        <v>12636.36</v>
      </c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6">
        <f t="shared" si="0"/>
        <v>12636.36</v>
      </c>
      <c r="AC20" s="6">
        <f t="shared" si="1"/>
        <v>0</v>
      </c>
      <c r="AD20" s="141" t="s">
        <v>743</v>
      </c>
    </row>
    <row r="21" spans="1:30" ht="13.5" customHeight="1">
      <c r="A21" s="141" t="s">
        <v>326</v>
      </c>
      <c r="B21" s="141" t="s">
        <v>327</v>
      </c>
      <c r="C21" s="141" t="s">
        <v>328</v>
      </c>
      <c r="D21" s="141">
        <v>537.09</v>
      </c>
      <c r="E21" s="141">
        <v>5908</v>
      </c>
      <c r="F21" s="141">
        <v>5370.91</v>
      </c>
      <c r="G21" s="141" t="s">
        <v>8</v>
      </c>
      <c r="H21" s="145">
        <f t="shared" si="2"/>
        <v>5370.91</v>
      </c>
      <c r="I21" s="142">
        <f>+H21</f>
        <v>5370.91</v>
      </c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6">
        <f t="shared" si="0"/>
        <v>5370.91</v>
      </c>
      <c r="AC21" s="6">
        <f t="shared" si="1"/>
        <v>0</v>
      </c>
      <c r="AD21" s="141" t="s">
        <v>743</v>
      </c>
    </row>
    <row r="22" spans="1:30" ht="13.5" customHeight="1">
      <c r="A22" s="141" t="s">
        <v>326</v>
      </c>
      <c r="B22" s="141" t="s">
        <v>333</v>
      </c>
      <c r="C22" s="141" t="s">
        <v>334</v>
      </c>
      <c r="D22" s="141">
        <v>0</v>
      </c>
      <c r="E22" s="141">
        <v>19500</v>
      </c>
      <c r="F22" s="141">
        <v>19500</v>
      </c>
      <c r="G22" s="141" t="s">
        <v>8</v>
      </c>
      <c r="H22" s="145">
        <f t="shared" si="2"/>
        <v>19500</v>
      </c>
      <c r="I22" s="142">
        <f>+H22</f>
        <v>19500</v>
      </c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6">
        <f t="shared" si="0"/>
        <v>19500</v>
      </c>
      <c r="AC22" s="6">
        <f t="shared" si="1"/>
        <v>0</v>
      </c>
      <c r="AD22" s="141" t="s">
        <v>743</v>
      </c>
    </row>
    <row r="23" spans="1:30" ht="13.5" customHeight="1">
      <c r="A23" s="141" t="s">
        <v>326</v>
      </c>
      <c r="B23" s="141" t="s">
        <v>335</v>
      </c>
      <c r="C23" s="141" t="s">
        <v>336</v>
      </c>
      <c r="D23" s="141">
        <v>0</v>
      </c>
      <c r="E23" s="141">
        <v>38000</v>
      </c>
      <c r="F23" s="141">
        <v>38000</v>
      </c>
      <c r="G23" s="141" t="s">
        <v>8</v>
      </c>
      <c r="H23" s="145">
        <f t="shared" si="2"/>
        <v>38000</v>
      </c>
      <c r="I23" s="141"/>
      <c r="J23" s="141"/>
      <c r="K23" s="141"/>
      <c r="L23" s="141"/>
      <c r="M23" s="142">
        <f>+H23</f>
        <v>38000</v>
      </c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6">
        <f t="shared" si="0"/>
        <v>38000</v>
      </c>
      <c r="AC23" s="6">
        <f t="shared" si="1"/>
        <v>0</v>
      </c>
      <c r="AD23" s="141" t="s">
        <v>743</v>
      </c>
    </row>
    <row r="24" spans="1:30" ht="13.5" customHeight="1">
      <c r="A24" s="141" t="s">
        <v>326</v>
      </c>
      <c r="B24" s="141" t="s">
        <v>331</v>
      </c>
      <c r="C24" s="141" t="s">
        <v>332</v>
      </c>
      <c r="D24" s="141">
        <v>3746.82</v>
      </c>
      <c r="E24" s="141">
        <v>41215</v>
      </c>
      <c r="F24" s="141">
        <v>37468.18</v>
      </c>
      <c r="G24" s="141" t="s">
        <v>8</v>
      </c>
      <c r="H24" s="145">
        <f t="shared" si="2"/>
        <v>37468.18</v>
      </c>
      <c r="I24" s="142">
        <f>+H24</f>
        <v>37468.18</v>
      </c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6">
        <f t="shared" si="0"/>
        <v>37468.18</v>
      </c>
      <c r="AC24" s="6">
        <f t="shared" si="1"/>
        <v>0</v>
      </c>
      <c r="AD24" s="141" t="s">
        <v>743</v>
      </c>
    </row>
    <row r="25" spans="1:30" ht="13.5" customHeight="1">
      <c r="A25" s="141" t="s">
        <v>326</v>
      </c>
      <c r="B25" s="141" t="s">
        <v>140</v>
      </c>
      <c r="C25" s="141" t="s">
        <v>141</v>
      </c>
      <c r="D25" s="141">
        <v>0</v>
      </c>
      <c r="E25" s="141">
        <v>57900</v>
      </c>
      <c r="F25" s="141">
        <v>57900</v>
      </c>
      <c r="G25" s="141" t="s">
        <v>55</v>
      </c>
      <c r="H25" s="145">
        <f t="shared" si="2"/>
        <v>57900</v>
      </c>
      <c r="I25" s="141"/>
      <c r="J25" s="141"/>
      <c r="K25" s="141"/>
      <c r="L25" s="141"/>
      <c r="M25" s="142">
        <f>+H25</f>
        <v>57900</v>
      </c>
      <c r="N25" s="141"/>
      <c r="O25" s="141"/>
      <c r="P25" s="141"/>
      <c r="Q25" s="141"/>
      <c r="R25" s="143"/>
      <c r="S25" s="141"/>
      <c r="T25" s="144"/>
      <c r="U25" s="141"/>
      <c r="V25" s="143"/>
      <c r="W25" s="143"/>
      <c r="X25" s="143"/>
      <c r="Y25" s="143"/>
      <c r="Z25" s="143"/>
      <c r="AA25" s="141"/>
      <c r="AB25" s="6">
        <f t="shared" si="0"/>
        <v>57900</v>
      </c>
      <c r="AC25" s="6">
        <f t="shared" si="1"/>
        <v>0</v>
      </c>
      <c r="AD25" s="141"/>
    </row>
    <row r="26" spans="1:30" ht="13.5" customHeight="1">
      <c r="A26" s="141" t="s">
        <v>326</v>
      </c>
      <c r="B26" s="141" t="s">
        <v>316</v>
      </c>
      <c r="C26" s="141" t="s">
        <v>317</v>
      </c>
      <c r="D26" s="141">
        <v>7681.82</v>
      </c>
      <c r="E26" s="141">
        <v>84500</v>
      </c>
      <c r="F26" s="141">
        <v>76818.179999999993</v>
      </c>
      <c r="G26" s="141" t="s">
        <v>8</v>
      </c>
      <c r="H26" s="145">
        <f t="shared" si="2"/>
        <v>76818.179999999993</v>
      </c>
      <c r="I26" s="141"/>
      <c r="J26" s="141"/>
      <c r="K26" s="142">
        <f>+H26</f>
        <v>76818.179999999993</v>
      </c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6">
        <f t="shared" si="0"/>
        <v>76818.179999999993</v>
      </c>
      <c r="AC26" s="6">
        <f t="shared" si="1"/>
        <v>0</v>
      </c>
      <c r="AD26" s="141" t="s">
        <v>743</v>
      </c>
    </row>
    <row r="27" spans="1:30" ht="13.5" customHeight="1">
      <c r="A27" s="141" t="s">
        <v>326</v>
      </c>
      <c r="B27" s="141" t="s">
        <v>206</v>
      </c>
      <c r="C27" s="141" t="s">
        <v>207</v>
      </c>
      <c r="D27" s="141">
        <v>14295.45</v>
      </c>
      <c r="E27" s="141">
        <v>157250</v>
      </c>
      <c r="F27" s="141">
        <v>142954.54999999999</v>
      </c>
      <c r="G27" s="141" t="s">
        <v>8</v>
      </c>
      <c r="H27" s="145">
        <f t="shared" si="2"/>
        <v>142954.54999999999</v>
      </c>
      <c r="I27" s="70"/>
      <c r="J27" s="141"/>
      <c r="K27" s="141"/>
      <c r="L27" s="141"/>
      <c r="M27" s="141"/>
      <c r="N27" s="141"/>
      <c r="O27" s="141"/>
      <c r="P27" s="142">
        <f>+H27</f>
        <v>142954.54999999999</v>
      </c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6">
        <f t="shared" si="0"/>
        <v>142954.54999999999</v>
      </c>
      <c r="AC27" s="6">
        <f t="shared" si="1"/>
        <v>0</v>
      </c>
      <c r="AD27" s="141" t="s">
        <v>743</v>
      </c>
    </row>
    <row r="28" spans="1:30" ht="13.5" customHeight="1">
      <c r="A28" s="141" t="s">
        <v>326</v>
      </c>
      <c r="B28" s="141" t="s">
        <v>87</v>
      </c>
      <c r="C28" s="141" t="s">
        <v>88</v>
      </c>
      <c r="D28" s="141">
        <v>19792.91</v>
      </c>
      <c r="E28" s="141">
        <v>217722</v>
      </c>
      <c r="F28" s="141">
        <v>197929.09</v>
      </c>
      <c r="G28" s="141" t="s">
        <v>8</v>
      </c>
      <c r="H28" s="145">
        <f t="shared" si="2"/>
        <v>197929.09</v>
      </c>
      <c r="I28" s="70"/>
      <c r="J28" s="141"/>
      <c r="K28" s="141"/>
      <c r="L28" s="141"/>
      <c r="M28" s="141"/>
      <c r="N28" s="141"/>
      <c r="O28" s="141"/>
      <c r="P28" s="142">
        <f>+H28</f>
        <v>197929.09</v>
      </c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6">
        <f t="shared" si="0"/>
        <v>197929.09</v>
      </c>
      <c r="AC28" s="6">
        <f t="shared" si="1"/>
        <v>0</v>
      </c>
      <c r="AD28" s="141" t="s">
        <v>743</v>
      </c>
    </row>
    <row r="29" spans="1:30" ht="13.5" customHeight="1">
      <c r="A29" s="141" t="s">
        <v>326</v>
      </c>
      <c r="B29" s="141" t="s">
        <v>329</v>
      </c>
      <c r="C29" s="141" t="s">
        <v>330</v>
      </c>
      <c r="D29" s="141">
        <v>44094.64</v>
      </c>
      <c r="E29" s="141">
        <v>490439</v>
      </c>
      <c r="F29" s="141">
        <v>446344.36</v>
      </c>
      <c r="G29" s="141" t="s">
        <v>8</v>
      </c>
      <c r="H29" s="145">
        <f t="shared" si="2"/>
        <v>446344.36</v>
      </c>
      <c r="I29" s="141"/>
      <c r="J29" s="141"/>
      <c r="K29" s="70">
        <v>446344.36</v>
      </c>
      <c r="L29" s="141"/>
      <c r="M29" s="141"/>
      <c r="N29" s="141"/>
      <c r="O29" s="141"/>
      <c r="P29" s="141"/>
      <c r="Q29" s="141"/>
      <c r="R29" s="143"/>
      <c r="S29" s="141"/>
      <c r="T29" s="144"/>
      <c r="U29" s="141"/>
      <c r="V29" s="143"/>
      <c r="W29" s="143"/>
      <c r="X29" s="143"/>
      <c r="Y29" s="143"/>
      <c r="Z29" s="143"/>
      <c r="AA29" s="141"/>
      <c r="AB29" s="6">
        <f t="shared" si="0"/>
        <v>446344.36</v>
      </c>
      <c r="AC29" s="6">
        <f t="shared" si="1"/>
        <v>0</v>
      </c>
      <c r="AD29" s="141"/>
    </row>
    <row r="30" spans="1:30" ht="13.5" customHeight="1">
      <c r="A30" s="141" t="s">
        <v>323</v>
      </c>
      <c r="B30" s="141" t="s">
        <v>324</v>
      </c>
      <c r="C30" s="141" t="s">
        <v>325</v>
      </c>
      <c r="D30" s="141">
        <v>13728.18</v>
      </c>
      <c r="E30" s="141">
        <v>151010</v>
      </c>
      <c r="F30" s="141">
        <v>137281.82</v>
      </c>
      <c r="G30" s="141" t="s">
        <v>8</v>
      </c>
      <c r="H30" s="145">
        <f t="shared" si="2"/>
        <v>137281.82</v>
      </c>
      <c r="I30" s="70">
        <v>137281.82</v>
      </c>
      <c r="J30" s="141"/>
      <c r="K30" s="141"/>
      <c r="L30" s="141"/>
      <c r="M30" s="141"/>
      <c r="N30" s="141"/>
      <c r="O30" s="141"/>
      <c r="P30" s="70">
        <f>+I30</f>
        <v>137281.82</v>
      </c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6">
        <f t="shared" si="0"/>
        <v>274563.64</v>
      </c>
      <c r="AC30" s="6">
        <f t="shared" si="1"/>
        <v>137281.82</v>
      </c>
      <c r="AD30" s="141" t="s">
        <v>743</v>
      </c>
    </row>
    <row r="31" spans="1:30" ht="13.5" customHeight="1">
      <c r="A31" s="141" t="s">
        <v>320</v>
      </c>
      <c r="B31" s="146" t="s">
        <v>942</v>
      </c>
      <c r="C31" s="146" t="s">
        <v>943</v>
      </c>
      <c r="D31" s="146" t="s">
        <v>944</v>
      </c>
      <c r="E31" s="84"/>
      <c r="F31" s="146">
        <v>1</v>
      </c>
      <c r="G31" s="146" t="s">
        <v>515</v>
      </c>
      <c r="H31" s="147">
        <v>200000</v>
      </c>
      <c r="I31" s="141">
        <v>200000</v>
      </c>
      <c r="J31" s="141"/>
      <c r="K31" s="143"/>
      <c r="L31" s="141"/>
      <c r="M31" s="143"/>
      <c r="N31" s="141"/>
      <c r="O31" s="141"/>
      <c r="P31" s="143"/>
      <c r="Q31" s="143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6">
        <f t="shared" si="0"/>
        <v>200000</v>
      </c>
      <c r="AC31" s="6">
        <f t="shared" si="1"/>
        <v>0</v>
      </c>
      <c r="AD31" s="141" t="s">
        <v>743</v>
      </c>
    </row>
    <row r="32" spans="1:30" ht="13.5" customHeight="1">
      <c r="A32" s="141" t="s">
        <v>320</v>
      </c>
      <c r="B32" s="146" t="s">
        <v>979</v>
      </c>
      <c r="C32" s="146" t="s">
        <v>914</v>
      </c>
      <c r="D32" s="146" t="s">
        <v>915</v>
      </c>
      <c r="E32" s="84"/>
      <c r="F32" s="146">
        <v>1</v>
      </c>
      <c r="G32" s="146" t="s">
        <v>515</v>
      </c>
      <c r="H32" s="147">
        <v>3160000</v>
      </c>
      <c r="I32" s="141"/>
      <c r="J32" s="141">
        <v>3160000</v>
      </c>
      <c r="K32" s="143"/>
      <c r="L32" s="141"/>
      <c r="M32" s="143"/>
      <c r="N32" s="141"/>
      <c r="O32" s="141"/>
      <c r="P32" s="143"/>
      <c r="Q32" s="143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6">
        <f t="shared" si="0"/>
        <v>3160000</v>
      </c>
      <c r="AC32" s="6">
        <f t="shared" si="1"/>
        <v>0</v>
      </c>
      <c r="AD32" s="141" t="s">
        <v>743</v>
      </c>
    </row>
    <row r="33" spans="1:30" ht="13.5" customHeight="1">
      <c r="A33" s="141" t="s">
        <v>320</v>
      </c>
      <c r="B33" s="146" t="s">
        <v>983</v>
      </c>
      <c r="C33" s="146" t="s">
        <v>984</v>
      </c>
      <c r="D33" s="84"/>
      <c r="E33" s="146" t="s">
        <v>985</v>
      </c>
      <c r="F33" s="146">
        <v>1</v>
      </c>
      <c r="G33" s="146" t="s">
        <v>515</v>
      </c>
      <c r="H33" s="147">
        <v>6400000</v>
      </c>
      <c r="I33" s="141"/>
      <c r="J33" s="141">
        <v>6400000</v>
      </c>
      <c r="K33" s="143"/>
      <c r="L33" s="141"/>
      <c r="M33" s="143"/>
      <c r="N33" s="141"/>
      <c r="O33" s="141"/>
      <c r="P33" s="143"/>
      <c r="Q33" s="143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6">
        <f t="shared" si="0"/>
        <v>6400000</v>
      </c>
      <c r="AC33" s="6">
        <f t="shared" si="1"/>
        <v>0</v>
      </c>
      <c r="AD33" s="141" t="s">
        <v>743</v>
      </c>
    </row>
    <row r="34" spans="1:30" ht="13.5" customHeight="1">
      <c r="A34" s="141" t="s">
        <v>320</v>
      </c>
      <c r="B34" s="141" t="s">
        <v>321</v>
      </c>
      <c r="C34" s="141" t="s">
        <v>322</v>
      </c>
      <c r="D34" s="141">
        <v>0</v>
      </c>
      <c r="E34" s="141">
        <v>50000</v>
      </c>
      <c r="F34" s="141">
        <v>50000</v>
      </c>
      <c r="G34" s="141" t="s">
        <v>55</v>
      </c>
      <c r="H34" s="145">
        <v>50000</v>
      </c>
      <c r="I34" s="141"/>
      <c r="J34" s="141"/>
      <c r="K34" s="141"/>
      <c r="L34" s="70">
        <v>50000</v>
      </c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6">
        <f t="shared" si="0"/>
        <v>50000</v>
      </c>
      <c r="AC34" s="6">
        <f t="shared" si="1"/>
        <v>0</v>
      </c>
      <c r="AD34" s="141" t="s">
        <v>743</v>
      </c>
    </row>
    <row r="35" spans="1:30" ht="13.5" customHeight="1">
      <c r="A35" s="141" t="s">
        <v>320</v>
      </c>
      <c r="B35" s="141" t="s">
        <v>156</v>
      </c>
      <c r="C35" s="141" t="s">
        <v>157</v>
      </c>
      <c r="D35" s="141">
        <v>4545.45</v>
      </c>
      <c r="E35" s="141">
        <v>50000</v>
      </c>
      <c r="F35" s="141">
        <v>45454.55</v>
      </c>
      <c r="G35" s="141" t="s">
        <v>8</v>
      </c>
      <c r="H35" s="145">
        <f>+E35-D35</f>
        <v>45454.55</v>
      </c>
      <c r="I35" s="70"/>
      <c r="J35" s="141"/>
      <c r="K35" s="141"/>
      <c r="L35" s="141"/>
      <c r="M35" s="141"/>
      <c r="N35" s="141"/>
      <c r="O35" s="141"/>
      <c r="P35" s="142">
        <f>+H35</f>
        <v>45454.55</v>
      </c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6">
        <f t="shared" si="0"/>
        <v>45454.55</v>
      </c>
      <c r="AC35" s="6">
        <f t="shared" si="1"/>
        <v>0</v>
      </c>
      <c r="AD35" s="141" t="s">
        <v>743</v>
      </c>
    </row>
    <row r="36" spans="1:30" ht="13.5" customHeight="1">
      <c r="A36" s="141" t="s">
        <v>320</v>
      </c>
      <c r="B36" s="141" t="s">
        <v>321</v>
      </c>
      <c r="C36" s="141" t="s">
        <v>322</v>
      </c>
      <c r="D36" s="141">
        <v>0</v>
      </c>
      <c r="E36" s="141">
        <v>320000</v>
      </c>
      <c r="F36" s="141">
        <v>320000</v>
      </c>
      <c r="G36" s="141" t="s">
        <v>55</v>
      </c>
      <c r="H36" s="145">
        <v>320000</v>
      </c>
      <c r="I36" s="141"/>
      <c r="J36" s="141"/>
      <c r="K36" s="141"/>
      <c r="L36" s="70">
        <v>320000</v>
      </c>
      <c r="M36" s="141"/>
      <c r="N36" s="141"/>
      <c r="O36" s="141"/>
      <c r="P36" s="141"/>
      <c r="Q36" s="141"/>
      <c r="R36" s="143"/>
      <c r="S36" s="141"/>
      <c r="T36" s="144"/>
      <c r="U36" s="141"/>
      <c r="V36" s="143"/>
      <c r="W36" s="143"/>
      <c r="X36" s="143"/>
      <c r="Y36" s="143"/>
      <c r="Z36" s="143"/>
      <c r="AA36" s="141"/>
      <c r="AB36" s="6">
        <f t="shared" si="0"/>
        <v>320000</v>
      </c>
      <c r="AC36" s="6">
        <f t="shared" si="1"/>
        <v>0</v>
      </c>
      <c r="AD36" s="141"/>
    </row>
    <row r="37" spans="1:30" ht="13.5" customHeight="1">
      <c r="A37" s="141" t="s">
        <v>311</v>
      </c>
      <c r="B37" s="146" t="s">
        <v>919</v>
      </c>
      <c r="C37" s="146" t="s">
        <v>920</v>
      </c>
      <c r="D37" s="146" t="s">
        <v>921</v>
      </c>
      <c r="E37" s="84"/>
      <c r="F37" s="146">
        <v>1</v>
      </c>
      <c r="G37" s="146" t="s">
        <v>515</v>
      </c>
      <c r="H37" s="147">
        <v>40000</v>
      </c>
      <c r="I37" s="142">
        <f>+H37</f>
        <v>40000</v>
      </c>
      <c r="J37" s="141"/>
      <c r="K37" s="143"/>
      <c r="L37" s="141"/>
      <c r="M37" s="143"/>
      <c r="N37" s="141"/>
      <c r="O37" s="141"/>
      <c r="P37" s="143"/>
      <c r="Q37" s="143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6">
        <f t="shared" ref="AB37:AB68" si="3">SUM(I37:AA37)</f>
        <v>40000</v>
      </c>
      <c r="AC37" s="6">
        <f t="shared" ref="AC37:AC68" si="4">+AB37-H37</f>
        <v>0</v>
      </c>
      <c r="AD37" s="141" t="s">
        <v>743</v>
      </c>
    </row>
    <row r="38" spans="1:30" ht="46">
      <c r="A38" s="141" t="s">
        <v>311</v>
      </c>
      <c r="B38" s="146" t="s">
        <v>933</v>
      </c>
      <c r="C38" s="146" t="s">
        <v>934</v>
      </c>
      <c r="D38" s="146" t="s">
        <v>935</v>
      </c>
      <c r="E38" s="84"/>
      <c r="F38" s="146">
        <v>1</v>
      </c>
      <c r="G38" s="146" t="s">
        <v>515</v>
      </c>
      <c r="H38" s="147">
        <v>120000</v>
      </c>
      <c r="I38" s="141">
        <v>120000</v>
      </c>
      <c r="J38" s="141"/>
      <c r="K38" s="143"/>
      <c r="L38" s="141"/>
      <c r="M38" s="143"/>
      <c r="N38" s="141"/>
      <c r="O38" s="141"/>
      <c r="P38" s="143"/>
      <c r="Q38" s="143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6">
        <f t="shared" si="3"/>
        <v>120000</v>
      </c>
      <c r="AC38" s="6">
        <f t="shared" si="4"/>
        <v>0</v>
      </c>
      <c r="AD38" s="141" t="s">
        <v>743</v>
      </c>
    </row>
    <row r="39" spans="1:30">
      <c r="A39" s="141" t="s">
        <v>311</v>
      </c>
      <c r="B39" s="141" t="s">
        <v>318</v>
      </c>
      <c r="C39" s="141" t="s">
        <v>319</v>
      </c>
      <c r="D39" s="141">
        <v>636.36363600000004</v>
      </c>
      <c r="E39" s="141">
        <v>7000</v>
      </c>
      <c r="F39" s="141">
        <v>6363.636364</v>
      </c>
      <c r="G39" s="141" t="s">
        <v>8</v>
      </c>
      <c r="H39" s="145">
        <f t="shared" ref="H39:H52" si="5">+E39-D39</f>
        <v>6363.636364</v>
      </c>
      <c r="I39" s="142">
        <f>+H39</f>
        <v>6363.636364</v>
      </c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6">
        <f t="shared" si="3"/>
        <v>6363.636364</v>
      </c>
      <c r="AC39" s="6">
        <f t="shared" si="4"/>
        <v>0</v>
      </c>
      <c r="AD39" s="141" t="s">
        <v>743</v>
      </c>
    </row>
    <row r="40" spans="1:30">
      <c r="A40" s="141" t="s">
        <v>311</v>
      </c>
      <c r="B40" s="141" t="s">
        <v>128</v>
      </c>
      <c r="C40" s="141" t="s">
        <v>129</v>
      </c>
      <c r="D40" s="141">
        <v>1272.73</v>
      </c>
      <c r="E40" s="141">
        <v>14000</v>
      </c>
      <c r="F40" s="141">
        <v>12727.27</v>
      </c>
      <c r="G40" s="141" t="s">
        <v>8</v>
      </c>
      <c r="H40" s="145">
        <f t="shared" si="5"/>
        <v>12727.27</v>
      </c>
      <c r="I40" s="70">
        <v>12727.27</v>
      </c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6">
        <f t="shared" si="3"/>
        <v>12727.27</v>
      </c>
      <c r="AC40" s="6">
        <f t="shared" si="4"/>
        <v>0</v>
      </c>
      <c r="AD40" s="141" t="s">
        <v>743</v>
      </c>
    </row>
    <row r="41" spans="1:30">
      <c r="A41" s="141" t="s">
        <v>311</v>
      </c>
      <c r="B41" s="141" t="s">
        <v>245</v>
      </c>
      <c r="C41" s="141" t="s">
        <v>246</v>
      </c>
      <c r="D41" s="141">
        <v>1363.64</v>
      </c>
      <c r="E41" s="141">
        <v>15000</v>
      </c>
      <c r="F41" s="141">
        <v>13636.36</v>
      </c>
      <c r="G41" s="141" t="s">
        <v>8</v>
      </c>
      <c r="H41" s="145">
        <f t="shared" si="5"/>
        <v>13636.36</v>
      </c>
      <c r="I41" s="70">
        <v>13636.36</v>
      </c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6">
        <f t="shared" si="3"/>
        <v>13636.36</v>
      </c>
      <c r="AC41" s="6">
        <f t="shared" si="4"/>
        <v>0</v>
      </c>
      <c r="AD41" s="141" t="s">
        <v>743</v>
      </c>
    </row>
    <row r="42" spans="1:30">
      <c r="A42" s="141" t="s">
        <v>311</v>
      </c>
      <c r="B42" s="141" t="s">
        <v>87</v>
      </c>
      <c r="C42" s="141" t="s">
        <v>88</v>
      </c>
      <c r="D42" s="141">
        <v>1363.64</v>
      </c>
      <c r="E42" s="141">
        <v>15000</v>
      </c>
      <c r="F42" s="141">
        <v>13636.36</v>
      </c>
      <c r="G42" s="141" t="s">
        <v>8</v>
      </c>
      <c r="H42" s="145">
        <f t="shared" si="5"/>
        <v>13636.36</v>
      </c>
      <c r="I42" s="70"/>
      <c r="J42" s="141"/>
      <c r="K42" s="141"/>
      <c r="L42" s="141"/>
      <c r="M42" s="141"/>
      <c r="N42" s="141"/>
      <c r="O42" s="141"/>
      <c r="P42" s="142">
        <f>+H42</f>
        <v>13636.36</v>
      </c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6">
        <f t="shared" si="3"/>
        <v>13636.36</v>
      </c>
      <c r="AC42" s="6">
        <f t="shared" si="4"/>
        <v>0</v>
      </c>
      <c r="AD42" s="141" t="s">
        <v>743</v>
      </c>
    </row>
    <row r="43" spans="1:30">
      <c r="A43" s="141" t="s">
        <v>311</v>
      </c>
      <c r="B43" s="141" t="s">
        <v>87</v>
      </c>
      <c r="C43" s="141" t="s">
        <v>88</v>
      </c>
      <c r="D43" s="141">
        <v>1818.18</v>
      </c>
      <c r="E43" s="141">
        <v>20000</v>
      </c>
      <c r="F43" s="141">
        <v>18181.82</v>
      </c>
      <c r="G43" s="141" t="s">
        <v>8</v>
      </c>
      <c r="H43" s="145">
        <f t="shared" si="5"/>
        <v>18181.82</v>
      </c>
      <c r="I43" s="70"/>
      <c r="J43" s="141"/>
      <c r="K43" s="141"/>
      <c r="L43" s="141"/>
      <c r="M43" s="141"/>
      <c r="N43" s="141"/>
      <c r="O43" s="141"/>
      <c r="P43" s="142">
        <f>+H43</f>
        <v>18181.82</v>
      </c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6">
        <f t="shared" si="3"/>
        <v>18181.82</v>
      </c>
      <c r="AC43" s="6">
        <f t="shared" si="4"/>
        <v>0</v>
      </c>
      <c r="AD43" s="141" t="s">
        <v>743</v>
      </c>
    </row>
    <row r="44" spans="1:30">
      <c r="A44" s="141" t="s">
        <v>311</v>
      </c>
      <c r="B44" s="141" t="s">
        <v>128</v>
      </c>
      <c r="C44" s="141" t="s">
        <v>129</v>
      </c>
      <c r="D44" s="141">
        <v>2263.64</v>
      </c>
      <c r="E44" s="141">
        <v>24900</v>
      </c>
      <c r="F44" s="141">
        <v>22636.36</v>
      </c>
      <c r="G44" s="141" t="s">
        <v>8</v>
      </c>
      <c r="H44" s="145">
        <f t="shared" si="5"/>
        <v>22636.36</v>
      </c>
      <c r="I44" s="70">
        <v>22636.36</v>
      </c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6">
        <f t="shared" si="3"/>
        <v>22636.36</v>
      </c>
      <c r="AC44" s="6">
        <f t="shared" si="4"/>
        <v>0</v>
      </c>
      <c r="AD44" s="141" t="s">
        <v>743</v>
      </c>
    </row>
    <row r="45" spans="1:30">
      <c r="A45" s="141" t="s">
        <v>311</v>
      </c>
      <c r="B45" s="141" t="s">
        <v>128</v>
      </c>
      <c r="C45" s="141" t="s">
        <v>129</v>
      </c>
      <c r="D45" s="141">
        <v>4072.73</v>
      </c>
      <c r="E45" s="141">
        <v>44800.01</v>
      </c>
      <c r="F45" s="141">
        <v>40727.279999999999</v>
      </c>
      <c r="G45" s="141" t="s">
        <v>8</v>
      </c>
      <c r="H45" s="145">
        <f t="shared" si="5"/>
        <v>40727.279999999999</v>
      </c>
      <c r="I45" s="70">
        <v>40727.279999999999</v>
      </c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6">
        <f t="shared" si="3"/>
        <v>40727.279999999999</v>
      </c>
      <c r="AC45" s="6">
        <f t="shared" si="4"/>
        <v>0</v>
      </c>
      <c r="AD45" s="141" t="s">
        <v>743</v>
      </c>
    </row>
    <row r="46" spans="1:30">
      <c r="A46" s="141" t="s">
        <v>311</v>
      </c>
      <c r="B46" s="141" t="s">
        <v>87</v>
      </c>
      <c r="C46" s="141" t="s">
        <v>88</v>
      </c>
      <c r="D46" s="141">
        <v>4545.45</v>
      </c>
      <c r="E46" s="141">
        <v>50000</v>
      </c>
      <c r="F46" s="141">
        <v>45454.55</v>
      </c>
      <c r="G46" s="141" t="s">
        <v>8</v>
      </c>
      <c r="H46" s="145">
        <f t="shared" si="5"/>
        <v>45454.55</v>
      </c>
      <c r="I46" s="70"/>
      <c r="J46" s="141"/>
      <c r="K46" s="141"/>
      <c r="L46" s="141"/>
      <c r="M46" s="141"/>
      <c r="N46" s="141"/>
      <c r="O46" s="141"/>
      <c r="P46" s="142">
        <f>+H46</f>
        <v>45454.55</v>
      </c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6">
        <f t="shared" si="3"/>
        <v>45454.55</v>
      </c>
      <c r="AC46" s="6">
        <f t="shared" si="4"/>
        <v>0</v>
      </c>
      <c r="AD46" s="141" t="s">
        <v>743</v>
      </c>
    </row>
    <row r="47" spans="1:30">
      <c r="A47" s="141" t="s">
        <v>311</v>
      </c>
      <c r="B47" s="141" t="s">
        <v>128</v>
      </c>
      <c r="C47" s="141" t="s">
        <v>129</v>
      </c>
      <c r="D47" s="141">
        <v>4981.82</v>
      </c>
      <c r="E47" s="141">
        <v>54799.99</v>
      </c>
      <c r="F47" s="141">
        <v>49818.17</v>
      </c>
      <c r="G47" s="141" t="s">
        <v>8</v>
      </c>
      <c r="H47" s="145">
        <f t="shared" si="5"/>
        <v>49818.17</v>
      </c>
      <c r="I47" s="70">
        <v>49818.17</v>
      </c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6">
        <f t="shared" si="3"/>
        <v>49818.17</v>
      </c>
      <c r="AC47" s="6">
        <f t="shared" si="4"/>
        <v>0</v>
      </c>
      <c r="AD47" s="141" t="s">
        <v>743</v>
      </c>
    </row>
    <row r="48" spans="1:30">
      <c r="A48" s="141" t="s">
        <v>311</v>
      </c>
      <c r="B48" s="141" t="s">
        <v>318</v>
      </c>
      <c r="C48" s="141" t="s">
        <v>319</v>
      </c>
      <c r="D48" s="141">
        <v>5681.818182</v>
      </c>
      <c r="E48" s="141">
        <v>62500</v>
      </c>
      <c r="F48" s="141">
        <v>56818.181817999997</v>
      </c>
      <c r="G48" s="141" t="s">
        <v>8</v>
      </c>
      <c r="H48" s="145">
        <f t="shared" si="5"/>
        <v>56818.181817999997</v>
      </c>
      <c r="I48" s="142">
        <f>+H48</f>
        <v>56818.181817999997</v>
      </c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6">
        <f t="shared" si="3"/>
        <v>56818.181817999997</v>
      </c>
      <c r="AC48" s="6">
        <f t="shared" si="4"/>
        <v>0</v>
      </c>
      <c r="AD48" s="141" t="s">
        <v>743</v>
      </c>
    </row>
    <row r="49" spans="1:30">
      <c r="A49" s="141" t="s">
        <v>311</v>
      </c>
      <c r="B49" s="141" t="s">
        <v>316</v>
      </c>
      <c r="C49" s="141" t="s">
        <v>317</v>
      </c>
      <c r="D49" s="141">
        <v>8509.09</v>
      </c>
      <c r="E49" s="141">
        <v>93600</v>
      </c>
      <c r="F49" s="141">
        <v>85090.91</v>
      </c>
      <c r="G49" s="141" t="s">
        <v>8</v>
      </c>
      <c r="H49" s="145">
        <f t="shared" si="5"/>
        <v>85090.91</v>
      </c>
      <c r="I49" s="141"/>
      <c r="J49" s="141"/>
      <c r="K49" s="142">
        <f>+H49</f>
        <v>85090.91</v>
      </c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6">
        <f t="shared" si="3"/>
        <v>85090.91</v>
      </c>
      <c r="AC49" s="6">
        <f t="shared" si="4"/>
        <v>0</v>
      </c>
      <c r="AD49" s="141" t="s">
        <v>743</v>
      </c>
    </row>
    <row r="50" spans="1:30">
      <c r="A50" s="141" t="s">
        <v>311</v>
      </c>
      <c r="B50" s="141" t="s">
        <v>316</v>
      </c>
      <c r="C50" s="141" t="s">
        <v>317</v>
      </c>
      <c r="D50" s="141">
        <v>9381.82</v>
      </c>
      <c r="E50" s="141">
        <v>103200</v>
      </c>
      <c r="F50" s="141">
        <v>93818.18</v>
      </c>
      <c r="G50" s="141" t="s">
        <v>8</v>
      </c>
      <c r="H50" s="145">
        <f t="shared" si="5"/>
        <v>93818.18</v>
      </c>
      <c r="I50" s="141"/>
      <c r="J50" s="141"/>
      <c r="K50" s="142">
        <f>+H50</f>
        <v>93818.18</v>
      </c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6">
        <f t="shared" si="3"/>
        <v>93818.18</v>
      </c>
      <c r="AC50" s="6">
        <f t="shared" si="4"/>
        <v>0</v>
      </c>
      <c r="AD50" s="141" t="s">
        <v>743</v>
      </c>
    </row>
    <row r="51" spans="1:30">
      <c r="A51" s="141" t="s">
        <v>311</v>
      </c>
      <c r="B51" s="141" t="s">
        <v>312</v>
      </c>
      <c r="C51" s="141" t="s">
        <v>313</v>
      </c>
      <c r="D51" s="141">
        <v>23636.363635999998</v>
      </c>
      <c r="E51" s="141">
        <v>260000</v>
      </c>
      <c r="F51" s="141">
        <v>236363.63636400001</v>
      </c>
      <c r="G51" s="141" t="s">
        <v>8</v>
      </c>
      <c r="H51" s="145">
        <f t="shared" si="5"/>
        <v>236363.63636400001</v>
      </c>
      <c r="I51" s="142">
        <f>+H51</f>
        <v>236363.63636400001</v>
      </c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6">
        <f t="shared" si="3"/>
        <v>236363.63636400001</v>
      </c>
      <c r="AC51" s="6">
        <f t="shared" si="4"/>
        <v>0</v>
      </c>
      <c r="AD51" s="141" t="s">
        <v>743</v>
      </c>
    </row>
    <row r="52" spans="1:30">
      <c r="A52" s="141" t="s">
        <v>311</v>
      </c>
      <c r="B52" s="141" t="s">
        <v>314</v>
      </c>
      <c r="C52" s="141" t="s">
        <v>315</v>
      </c>
      <c r="D52" s="141">
        <v>24481.818181999999</v>
      </c>
      <c r="E52" s="141">
        <v>269300</v>
      </c>
      <c r="F52" s="141">
        <v>244818.18181800001</v>
      </c>
      <c r="G52" s="141" t="s">
        <v>8</v>
      </c>
      <c r="H52" s="145">
        <f t="shared" si="5"/>
        <v>244818.18181800001</v>
      </c>
      <c r="I52" s="141"/>
      <c r="J52" s="141"/>
      <c r="K52" s="142">
        <f>+H52</f>
        <v>244818.18181800001</v>
      </c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6">
        <f t="shared" si="3"/>
        <v>244818.18181800001</v>
      </c>
      <c r="AC52" s="6">
        <f t="shared" si="4"/>
        <v>0</v>
      </c>
      <c r="AD52" s="141" t="s">
        <v>743</v>
      </c>
    </row>
    <row r="53" spans="1:30" ht="69">
      <c r="A53" s="141" t="s">
        <v>310</v>
      </c>
      <c r="B53" s="146" t="s">
        <v>964</v>
      </c>
      <c r="C53" s="146" t="s">
        <v>920</v>
      </c>
      <c r="D53" s="146" t="s">
        <v>921</v>
      </c>
      <c r="E53" s="84"/>
      <c r="F53" s="146">
        <v>1</v>
      </c>
      <c r="G53" s="146" t="s">
        <v>515</v>
      </c>
      <c r="H53" s="147">
        <v>645000</v>
      </c>
      <c r="I53" s="141">
        <v>645000</v>
      </c>
      <c r="J53" s="141"/>
      <c r="K53" s="143"/>
      <c r="L53" s="141"/>
      <c r="M53" s="143"/>
      <c r="N53" s="141"/>
      <c r="O53" s="141"/>
      <c r="P53" s="143"/>
      <c r="Q53" s="143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6">
        <f t="shared" si="3"/>
        <v>645000</v>
      </c>
      <c r="AC53" s="6">
        <f t="shared" si="4"/>
        <v>0</v>
      </c>
      <c r="AD53" s="141" t="s">
        <v>743</v>
      </c>
    </row>
    <row r="54" spans="1:30" ht="57.5">
      <c r="A54" s="141" t="s">
        <v>310</v>
      </c>
      <c r="B54" s="149" t="s">
        <v>966</v>
      </c>
      <c r="C54" s="149" t="s">
        <v>958</v>
      </c>
      <c r="D54" s="149" t="s">
        <v>959</v>
      </c>
      <c r="E54" s="84"/>
      <c r="F54" s="149">
        <v>1</v>
      </c>
      <c r="G54" s="149" t="s">
        <v>515</v>
      </c>
      <c r="H54" s="150">
        <v>1100000</v>
      </c>
      <c r="I54" s="142">
        <f>+H54</f>
        <v>1100000</v>
      </c>
      <c r="J54" s="141"/>
      <c r="K54" s="143"/>
      <c r="L54" s="141"/>
      <c r="M54" s="143"/>
      <c r="N54" s="141"/>
      <c r="O54" s="141"/>
      <c r="P54" s="143"/>
      <c r="Q54" s="143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6">
        <f t="shared" si="3"/>
        <v>1100000</v>
      </c>
      <c r="AC54" s="6">
        <f t="shared" si="4"/>
        <v>0</v>
      </c>
      <c r="AD54" s="141" t="s">
        <v>743</v>
      </c>
    </row>
    <row r="55" spans="1:30" ht="69">
      <c r="A55" s="141" t="s">
        <v>310</v>
      </c>
      <c r="B55" s="146" t="s">
        <v>980</v>
      </c>
      <c r="C55" s="146" t="s">
        <v>981</v>
      </c>
      <c r="D55" s="146" t="s">
        <v>982</v>
      </c>
      <c r="E55" s="84"/>
      <c r="F55" s="146">
        <v>1</v>
      </c>
      <c r="G55" s="146" t="s">
        <v>515</v>
      </c>
      <c r="H55" s="147">
        <v>4500000</v>
      </c>
      <c r="I55" s="142">
        <f>+H55</f>
        <v>4500000</v>
      </c>
      <c r="J55" s="141"/>
      <c r="K55" s="143"/>
      <c r="L55" s="141"/>
      <c r="M55" s="143"/>
      <c r="N55" s="141"/>
      <c r="O55" s="141"/>
      <c r="P55" s="143"/>
      <c r="Q55" s="143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6">
        <f t="shared" si="3"/>
        <v>4500000</v>
      </c>
      <c r="AC55" s="6">
        <f t="shared" si="4"/>
        <v>0</v>
      </c>
      <c r="AD55" s="141" t="s">
        <v>743</v>
      </c>
    </row>
    <row r="56" spans="1:30">
      <c r="A56" s="141" t="s">
        <v>310</v>
      </c>
      <c r="B56" s="141" t="s">
        <v>149</v>
      </c>
      <c r="C56" s="141" t="s">
        <v>150</v>
      </c>
      <c r="D56" s="141">
        <v>8675.1623380000001</v>
      </c>
      <c r="E56" s="141">
        <v>95600</v>
      </c>
      <c r="F56" s="141">
        <v>86924.837662000005</v>
      </c>
      <c r="G56" s="141" t="s">
        <v>8</v>
      </c>
      <c r="H56" s="145">
        <f>+E56-D56</f>
        <v>86924.837662000005</v>
      </c>
      <c r="I56" s="141"/>
      <c r="J56" s="141"/>
      <c r="K56" s="70">
        <v>86924.837662000005</v>
      </c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6">
        <f t="shared" si="3"/>
        <v>86924.837662000005</v>
      </c>
      <c r="AC56" s="6">
        <f t="shared" si="4"/>
        <v>0</v>
      </c>
      <c r="AD56" s="141" t="s">
        <v>743</v>
      </c>
    </row>
    <row r="57" spans="1:30">
      <c r="A57" s="141" t="s">
        <v>310</v>
      </c>
      <c r="B57" s="141" t="s">
        <v>156</v>
      </c>
      <c r="C57" s="141" t="s">
        <v>157</v>
      </c>
      <c r="D57" s="141">
        <v>9090.91</v>
      </c>
      <c r="E57" s="141">
        <v>100000</v>
      </c>
      <c r="F57" s="141">
        <v>90909.09</v>
      </c>
      <c r="G57" s="141" t="s">
        <v>8</v>
      </c>
      <c r="H57" s="145">
        <f>+E57-D57</f>
        <v>90909.09</v>
      </c>
      <c r="I57" s="70"/>
      <c r="J57" s="141"/>
      <c r="K57" s="141"/>
      <c r="L57" s="141"/>
      <c r="M57" s="70"/>
      <c r="N57" s="141"/>
      <c r="O57" s="141"/>
      <c r="P57" s="142">
        <f>+H57</f>
        <v>90909.09</v>
      </c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6">
        <f t="shared" si="3"/>
        <v>90909.09</v>
      </c>
      <c r="AC57" s="6">
        <f t="shared" si="4"/>
        <v>0</v>
      </c>
      <c r="AD57" s="141" t="s">
        <v>743</v>
      </c>
    </row>
    <row r="58" spans="1:30">
      <c r="A58" s="141" t="s">
        <v>310</v>
      </c>
      <c r="B58" s="141" t="s">
        <v>156</v>
      </c>
      <c r="C58" s="141" t="s">
        <v>157</v>
      </c>
      <c r="D58" s="141">
        <v>9090.91</v>
      </c>
      <c r="E58" s="141">
        <v>100000</v>
      </c>
      <c r="F58" s="141">
        <v>90909.09</v>
      </c>
      <c r="G58" s="141" t="s">
        <v>8</v>
      </c>
      <c r="H58" s="145">
        <f>+E58-D58</f>
        <v>90909.09</v>
      </c>
      <c r="I58" s="70"/>
      <c r="J58" s="141"/>
      <c r="K58" s="141"/>
      <c r="L58" s="141"/>
      <c r="M58" s="141"/>
      <c r="N58" s="141"/>
      <c r="O58" s="141"/>
      <c r="P58" s="142">
        <f>+H58</f>
        <v>90909.09</v>
      </c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6">
        <f t="shared" si="3"/>
        <v>90909.09</v>
      </c>
      <c r="AC58" s="6">
        <f t="shared" si="4"/>
        <v>0</v>
      </c>
      <c r="AD58" s="141" t="s">
        <v>743</v>
      </c>
    </row>
    <row r="59" spans="1:30" ht="69">
      <c r="A59" s="141" t="s">
        <v>307</v>
      </c>
      <c r="B59" s="146" t="s">
        <v>945</v>
      </c>
      <c r="C59" s="146" t="s">
        <v>930</v>
      </c>
      <c r="D59" s="146" t="s">
        <v>931</v>
      </c>
      <c r="E59" s="84"/>
      <c r="F59" s="146">
        <v>1</v>
      </c>
      <c r="G59" s="146" t="s">
        <v>515</v>
      </c>
      <c r="H59" s="147">
        <v>200000</v>
      </c>
      <c r="I59" s="141"/>
      <c r="J59" s="141"/>
      <c r="K59" s="143">
        <v>200000</v>
      </c>
      <c r="L59" s="141"/>
      <c r="M59" s="143"/>
      <c r="N59" s="141"/>
      <c r="O59" s="141"/>
      <c r="P59" s="143"/>
      <c r="Q59" s="143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6">
        <f t="shared" si="3"/>
        <v>200000</v>
      </c>
      <c r="AC59" s="6">
        <f t="shared" si="4"/>
        <v>0</v>
      </c>
      <c r="AD59" s="141" t="s">
        <v>743</v>
      </c>
    </row>
    <row r="60" spans="1:30">
      <c r="A60" s="141" t="s">
        <v>307</v>
      </c>
      <c r="B60" s="141" t="s">
        <v>308</v>
      </c>
      <c r="C60" s="141" t="s">
        <v>309</v>
      </c>
      <c r="D60" s="141">
        <v>3348.2142859999999</v>
      </c>
      <c r="E60" s="141">
        <v>37500</v>
      </c>
      <c r="F60" s="141">
        <v>34151.785713999998</v>
      </c>
      <c r="G60" s="141" t="s">
        <v>8</v>
      </c>
      <c r="H60" s="145">
        <f>+E60-D60</f>
        <v>34151.785713999998</v>
      </c>
      <c r="I60" s="142">
        <f>+H60</f>
        <v>34151.785713999998</v>
      </c>
      <c r="J60" s="141"/>
      <c r="K60" s="141"/>
      <c r="L60" s="141"/>
      <c r="M60" s="141"/>
      <c r="N60" s="141"/>
      <c r="O60" s="141"/>
      <c r="P60" s="141"/>
      <c r="Q60" s="141"/>
      <c r="R60" s="143"/>
      <c r="S60" s="141"/>
      <c r="T60" s="144"/>
      <c r="U60" s="141"/>
      <c r="V60" s="143"/>
      <c r="W60" s="143"/>
      <c r="X60" s="143"/>
      <c r="Y60" s="143"/>
      <c r="Z60" s="143"/>
      <c r="AA60" s="141"/>
      <c r="AB60" s="6">
        <f t="shared" si="3"/>
        <v>34151.785713999998</v>
      </c>
      <c r="AC60" s="6">
        <f t="shared" si="4"/>
        <v>0</v>
      </c>
      <c r="AD60" s="141"/>
    </row>
    <row r="61" spans="1:30">
      <c r="A61" s="141" t="s">
        <v>307</v>
      </c>
      <c r="B61" s="141" t="s">
        <v>140</v>
      </c>
      <c r="C61" s="141" t="s">
        <v>141</v>
      </c>
      <c r="D61" s="141">
        <v>0</v>
      </c>
      <c r="E61" s="141">
        <v>48250</v>
      </c>
      <c r="F61" s="141">
        <v>48250</v>
      </c>
      <c r="G61" s="141" t="s">
        <v>55</v>
      </c>
      <c r="H61" s="145">
        <f>+E61-D61</f>
        <v>48250</v>
      </c>
      <c r="I61" s="141"/>
      <c r="J61" s="141"/>
      <c r="K61" s="141"/>
      <c r="L61" s="141"/>
      <c r="M61" s="142">
        <f>+H61</f>
        <v>48250</v>
      </c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6">
        <f t="shared" si="3"/>
        <v>48250</v>
      </c>
      <c r="AC61" s="6">
        <f t="shared" si="4"/>
        <v>0</v>
      </c>
      <c r="AD61" s="141" t="s">
        <v>743</v>
      </c>
    </row>
    <row r="62" spans="1:30">
      <c r="A62" s="141" t="s">
        <v>307</v>
      </c>
      <c r="B62" s="141" t="s">
        <v>308</v>
      </c>
      <c r="C62" s="141" t="s">
        <v>309</v>
      </c>
      <c r="D62" s="141">
        <v>36473.214286000002</v>
      </c>
      <c r="E62" s="141">
        <v>408500</v>
      </c>
      <c r="F62" s="141">
        <v>372026.785714</v>
      </c>
      <c r="G62" s="141" t="s">
        <v>8</v>
      </c>
      <c r="H62" s="145">
        <f>+E62-D62</f>
        <v>372026.785714</v>
      </c>
      <c r="I62" s="142">
        <f>+H62</f>
        <v>372026.785714</v>
      </c>
      <c r="J62" s="141"/>
      <c r="K62" s="141"/>
      <c r="L62" s="141"/>
      <c r="M62" s="141"/>
      <c r="N62" s="141"/>
      <c r="O62" s="141"/>
      <c r="P62" s="141"/>
      <c r="Q62" s="141"/>
      <c r="R62" s="143"/>
      <c r="S62" s="141"/>
      <c r="T62" s="144"/>
      <c r="U62" s="141"/>
      <c r="V62" s="143"/>
      <c r="W62" s="143"/>
      <c r="X62" s="143"/>
      <c r="Y62" s="143"/>
      <c r="Z62" s="143"/>
      <c r="AA62" s="141"/>
      <c r="AB62" s="6">
        <f t="shared" si="3"/>
        <v>372026.785714</v>
      </c>
      <c r="AC62" s="6">
        <f t="shared" si="4"/>
        <v>0</v>
      </c>
      <c r="AD62" s="141"/>
    </row>
    <row r="63" spans="1:30">
      <c r="A63" s="141" t="s">
        <v>306</v>
      </c>
      <c r="B63" s="141" t="s">
        <v>287</v>
      </c>
      <c r="C63" s="141" t="s">
        <v>288</v>
      </c>
      <c r="D63" s="141">
        <v>11527.27</v>
      </c>
      <c r="E63" s="141">
        <v>126800</v>
      </c>
      <c r="F63" s="141">
        <v>115272.73</v>
      </c>
      <c r="G63" s="141" t="s">
        <v>8</v>
      </c>
      <c r="H63" s="145">
        <f>+E63-D63</f>
        <v>115272.73</v>
      </c>
      <c r="I63" s="70"/>
      <c r="J63" s="141"/>
      <c r="K63" s="142">
        <f>+H63</f>
        <v>115272.73</v>
      </c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6">
        <f t="shared" si="3"/>
        <v>115272.73</v>
      </c>
      <c r="AC63" s="6">
        <f t="shared" si="4"/>
        <v>0</v>
      </c>
      <c r="AD63" s="141" t="s">
        <v>743</v>
      </c>
    </row>
    <row r="64" spans="1:30">
      <c r="A64" s="141" t="s">
        <v>303</v>
      </c>
      <c r="B64" s="141" t="s">
        <v>304</v>
      </c>
      <c r="C64" s="141" t="s">
        <v>305</v>
      </c>
      <c r="D64" s="141">
        <v>4545.45</v>
      </c>
      <c r="E64" s="141">
        <v>50000</v>
      </c>
      <c r="F64" s="141">
        <v>45454.55</v>
      </c>
      <c r="G64" s="141" t="s">
        <v>8</v>
      </c>
      <c r="H64" s="145">
        <f>+E64-D64</f>
        <v>45454.55</v>
      </c>
      <c r="I64" s="70"/>
      <c r="J64" s="141"/>
      <c r="K64" s="141"/>
      <c r="L64" s="141"/>
      <c r="M64" s="141"/>
      <c r="N64" s="141"/>
      <c r="O64" s="141"/>
      <c r="P64" s="142">
        <f>+H64</f>
        <v>45454.55</v>
      </c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6">
        <f t="shared" si="3"/>
        <v>45454.55</v>
      </c>
      <c r="AC64" s="6">
        <f t="shared" si="4"/>
        <v>0</v>
      </c>
      <c r="AD64" s="141" t="s">
        <v>743</v>
      </c>
    </row>
    <row r="65" spans="1:30" ht="57.5">
      <c r="A65" s="141" t="s">
        <v>302</v>
      </c>
      <c r="B65" s="148" t="s">
        <v>745</v>
      </c>
      <c r="C65" s="149" t="s">
        <v>930</v>
      </c>
      <c r="D65" s="149" t="s">
        <v>931</v>
      </c>
      <c r="E65" s="84"/>
      <c r="F65" s="149">
        <v>1</v>
      </c>
      <c r="G65" s="149" t="s">
        <v>515</v>
      </c>
      <c r="H65" s="150">
        <v>100000</v>
      </c>
      <c r="I65" s="142">
        <f>+H65</f>
        <v>100000</v>
      </c>
      <c r="J65" s="141"/>
      <c r="K65" s="143"/>
      <c r="L65" s="141"/>
      <c r="M65" s="143"/>
      <c r="N65" s="141"/>
      <c r="O65" s="141"/>
      <c r="P65" s="143"/>
      <c r="Q65" s="143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6">
        <f t="shared" si="3"/>
        <v>100000</v>
      </c>
      <c r="AC65" s="6">
        <f t="shared" si="4"/>
        <v>0</v>
      </c>
      <c r="AD65" s="141" t="s">
        <v>743</v>
      </c>
    </row>
    <row r="66" spans="1:30" ht="69">
      <c r="A66" s="141" t="s">
        <v>302</v>
      </c>
      <c r="B66" s="146" t="s">
        <v>957</v>
      </c>
      <c r="C66" s="146" t="s">
        <v>958</v>
      </c>
      <c r="D66" s="146" t="s">
        <v>959</v>
      </c>
      <c r="E66" s="84"/>
      <c r="F66" s="146">
        <v>1</v>
      </c>
      <c r="G66" s="146" t="s">
        <v>515</v>
      </c>
      <c r="H66" s="147">
        <v>540000</v>
      </c>
      <c r="I66" s="142">
        <f>+H66</f>
        <v>540000</v>
      </c>
      <c r="J66" s="141"/>
      <c r="K66" s="143"/>
      <c r="L66" s="141"/>
      <c r="M66" s="143"/>
      <c r="N66" s="141"/>
      <c r="O66" s="141"/>
      <c r="P66" s="143"/>
      <c r="Q66" s="143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6">
        <f t="shared" si="3"/>
        <v>540000</v>
      </c>
      <c r="AC66" s="6">
        <f t="shared" si="4"/>
        <v>0</v>
      </c>
      <c r="AD66" s="141" t="s">
        <v>743</v>
      </c>
    </row>
    <row r="67" spans="1:30">
      <c r="A67" s="141" t="s">
        <v>302</v>
      </c>
      <c r="B67" s="141" t="s">
        <v>156</v>
      </c>
      <c r="C67" s="141" t="s">
        <v>157</v>
      </c>
      <c r="D67" s="141">
        <v>4545.45</v>
      </c>
      <c r="E67" s="141">
        <v>50000</v>
      </c>
      <c r="F67" s="141">
        <v>45454.55</v>
      </c>
      <c r="G67" s="141" t="s">
        <v>8</v>
      </c>
      <c r="H67" s="145">
        <f>+E67-D67</f>
        <v>45454.55</v>
      </c>
      <c r="I67" s="70"/>
      <c r="J67" s="141"/>
      <c r="K67" s="141"/>
      <c r="L67" s="141"/>
      <c r="M67" s="141"/>
      <c r="N67" s="141"/>
      <c r="O67" s="141"/>
      <c r="P67" s="142">
        <f>+H67</f>
        <v>45454.55</v>
      </c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6">
        <f t="shared" si="3"/>
        <v>45454.55</v>
      </c>
      <c r="AC67" s="6">
        <f t="shared" si="4"/>
        <v>0</v>
      </c>
      <c r="AD67" s="141" t="s">
        <v>743</v>
      </c>
    </row>
    <row r="68" spans="1:30">
      <c r="A68" s="141" t="s">
        <v>302</v>
      </c>
      <c r="B68" s="141" t="s">
        <v>116</v>
      </c>
      <c r="C68" s="141" t="s">
        <v>117</v>
      </c>
      <c r="D68" s="141">
        <v>0</v>
      </c>
      <c r="E68" s="141">
        <v>99000</v>
      </c>
      <c r="F68" s="141">
        <v>99000</v>
      </c>
      <c r="G68" s="141" t="s">
        <v>55</v>
      </c>
      <c r="H68" s="145">
        <v>99000</v>
      </c>
      <c r="I68" s="70"/>
      <c r="J68" s="141"/>
      <c r="K68" s="141"/>
      <c r="L68" s="141"/>
      <c r="M68" s="142">
        <f>+H68</f>
        <v>99000</v>
      </c>
      <c r="N68" s="141"/>
      <c r="O68" s="141"/>
      <c r="P68" s="141"/>
      <c r="Q68" s="141"/>
      <c r="R68" s="143"/>
      <c r="S68" s="141"/>
      <c r="T68" s="144"/>
      <c r="U68" s="141"/>
      <c r="V68" s="143"/>
      <c r="W68" s="143"/>
      <c r="X68" s="143"/>
      <c r="Y68" s="143"/>
      <c r="Z68" s="143"/>
      <c r="AA68" s="141"/>
      <c r="AB68" s="6">
        <f t="shared" si="3"/>
        <v>99000</v>
      </c>
      <c r="AC68" s="6">
        <f t="shared" si="4"/>
        <v>0</v>
      </c>
      <c r="AD68" s="141"/>
    </row>
    <row r="69" spans="1:30">
      <c r="A69" s="141" t="s">
        <v>295</v>
      </c>
      <c r="B69" s="141" t="s">
        <v>300</v>
      </c>
      <c r="C69" s="141" t="s">
        <v>301</v>
      </c>
      <c r="D69" s="141">
        <v>4312.91</v>
      </c>
      <c r="E69" s="141">
        <v>47442</v>
      </c>
      <c r="F69" s="141">
        <v>43129.09</v>
      </c>
      <c r="G69" s="141" t="s">
        <v>8</v>
      </c>
      <c r="H69" s="145">
        <f>+E69-D69</f>
        <v>43129.09</v>
      </c>
      <c r="I69" s="70"/>
      <c r="J69" s="141"/>
      <c r="K69" s="142">
        <f>+H69</f>
        <v>43129.09</v>
      </c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6">
        <f t="shared" ref="AB69:AB100" si="6">SUM(I69:AA69)</f>
        <v>43129.09</v>
      </c>
      <c r="AC69" s="6">
        <f t="shared" ref="AC69:AC100" si="7">+AB69-H69</f>
        <v>0</v>
      </c>
      <c r="AD69" s="141" t="s">
        <v>743</v>
      </c>
    </row>
    <row r="70" spans="1:30">
      <c r="A70" s="141" t="s">
        <v>295</v>
      </c>
      <c r="B70" s="141" t="s">
        <v>296</v>
      </c>
      <c r="C70" s="141" t="s">
        <v>297</v>
      </c>
      <c r="D70" s="141">
        <v>7981.818182</v>
      </c>
      <c r="E70" s="141">
        <v>87800</v>
      </c>
      <c r="F70" s="141">
        <v>79818.181817999997</v>
      </c>
      <c r="G70" s="141" t="s">
        <v>8</v>
      </c>
      <c r="H70" s="145">
        <f>+E70-D70</f>
        <v>79818.181817999997</v>
      </c>
      <c r="I70" s="141"/>
      <c r="J70" s="141"/>
      <c r="K70" s="142">
        <f>+H70</f>
        <v>79818.181817999997</v>
      </c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6">
        <f t="shared" si="6"/>
        <v>79818.181817999997</v>
      </c>
      <c r="AC70" s="6">
        <f t="shared" si="7"/>
        <v>0</v>
      </c>
      <c r="AD70" s="141" t="s">
        <v>743</v>
      </c>
    </row>
    <row r="71" spans="1:30">
      <c r="A71" s="141" t="s">
        <v>295</v>
      </c>
      <c r="B71" s="141" t="s">
        <v>298</v>
      </c>
      <c r="C71" s="141" t="s">
        <v>299</v>
      </c>
      <c r="D71" s="141">
        <v>10309.91</v>
      </c>
      <c r="E71" s="141">
        <v>113409</v>
      </c>
      <c r="F71" s="141">
        <v>103099.09</v>
      </c>
      <c r="G71" s="141" t="s">
        <v>8</v>
      </c>
      <c r="H71" s="145">
        <f>+E71-D71</f>
        <v>103099.09</v>
      </c>
      <c r="I71" s="70">
        <v>103099.09</v>
      </c>
      <c r="J71" s="141"/>
      <c r="K71" s="142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6">
        <f t="shared" si="6"/>
        <v>103099.09</v>
      </c>
      <c r="AC71" s="6">
        <f t="shared" si="7"/>
        <v>0</v>
      </c>
      <c r="AD71" s="141" t="s">
        <v>743</v>
      </c>
    </row>
    <row r="72" spans="1:30">
      <c r="A72" s="141" t="s">
        <v>292</v>
      </c>
      <c r="B72" s="141" t="s">
        <v>116</v>
      </c>
      <c r="C72" s="141" t="s">
        <v>117</v>
      </c>
      <c r="D72" s="141">
        <v>0</v>
      </c>
      <c r="E72" s="141">
        <v>80000</v>
      </c>
      <c r="F72" s="141">
        <v>80000</v>
      </c>
      <c r="G72" s="141" t="s">
        <v>55</v>
      </c>
      <c r="H72" s="145">
        <v>80000</v>
      </c>
      <c r="I72" s="141"/>
      <c r="J72" s="141"/>
      <c r="K72" s="70">
        <v>80000</v>
      </c>
      <c r="L72" s="141"/>
      <c r="M72" s="141"/>
      <c r="N72" s="141"/>
      <c r="O72" s="141"/>
      <c r="P72" s="141"/>
      <c r="Q72" s="141"/>
      <c r="R72" s="143"/>
      <c r="S72" s="141"/>
      <c r="T72" s="144"/>
      <c r="U72" s="143"/>
      <c r="V72" s="143"/>
      <c r="W72" s="143"/>
      <c r="X72" s="143"/>
      <c r="Y72" s="143"/>
      <c r="Z72" s="143"/>
      <c r="AA72" s="141"/>
      <c r="AB72" s="6">
        <f t="shared" si="6"/>
        <v>80000</v>
      </c>
      <c r="AC72" s="6">
        <f t="shared" si="7"/>
        <v>0</v>
      </c>
      <c r="AD72" s="141"/>
    </row>
    <row r="73" spans="1:30">
      <c r="A73" s="141" t="s">
        <v>292</v>
      </c>
      <c r="B73" s="141" t="s">
        <v>293</v>
      </c>
      <c r="C73" s="141" t="s">
        <v>294</v>
      </c>
      <c r="D73" s="141">
        <v>0</v>
      </c>
      <c r="E73" s="141">
        <v>160000</v>
      </c>
      <c r="F73" s="141">
        <v>160000</v>
      </c>
      <c r="G73" s="141" t="s">
        <v>8</v>
      </c>
      <c r="H73" s="145">
        <f t="shared" ref="H73:H83" si="8">+E73-D73</f>
        <v>160000</v>
      </c>
      <c r="I73" s="141"/>
      <c r="J73" s="70"/>
      <c r="K73" s="142">
        <f>+H73</f>
        <v>160000</v>
      </c>
      <c r="L73" s="141"/>
      <c r="M73" s="141"/>
      <c r="N73" s="141"/>
      <c r="O73" s="141"/>
      <c r="P73" s="141"/>
      <c r="Q73" s="141"/>
      <c r="R73" s="143"/>
      <c r="S73" s="141"/>
      <c r="T73" s="144"/>
      <c r="U73" s="143"/>
      <c r="V73" s="143"/>
      <c r="W73" s="143"/>
      <c r="X73" s="143"/>
      <c r="Y73" s="143"/>
      <c r="Z73" s="143"/>
      <c r="AA73" s="141"/>
      <c r="AB73" s="6">
        <f t="shared" si="6"/>
        <v>160000</v>
      </c>
      <c r="AC73" s="6">
        <f t="shared" si="7"/>
        <v>0</v>
      </c>
      <c r="AD73" s="141"/>
    </row>
    <row r="74" spans="1:30">
      <c r="A74" s="141" t="s">
        <v>291</v>
      </c>
      <c r="B74" s="141" t="s">
        <v>87</v>
      </c>
      <c r="C74" s="141" t="s">
        <v>88</v>
      </c>
      <c r="D74" s="141">
        <v>14463.64</v>
      </c>
      <c r="E74" s="141">
        <v>159100</v>
      </c>
      <c r="F74" s="141">
        <v>144636.35999999999</v>
      </c>
      <c r="G74" s="141" t="s">
        <v>8</v>
      </c>
      <c r="H74" s="145">
        <f t="shared" si="8"/>
        <v>144636.35999999999</v>
      </c>
      <c r="I74" s="142"/>
      <c r="J74" s="141"/>
      <c r="K74" s="141"/>
      <c r="L74" s="141"/>
      <c r="M74" s="141"/>
      <c r="N74" s="141"/>
      <c r="O74" s="141"/>
      <c r="P74" s="142">
        <f>+H74</f>
        <v>144636.35999999999</v>
      </c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6">
        <f t="shared" si="6"/>
        <v>144636.35999999999</v>
      </c>
      <c r="AC74" s="6">
        <f t="shared" si="7"/>
        <v>0</v>
      </c>
      <c r="AD74" s="141" t="s">
        <v>743</v>
      </c>
    </row>
    <row r="75" spans="1:30">
      <c r="A75" s="141" t="s">
        <v>290</v>
      </c>
      <c r="B75" s="141" t="s">
        <v>241</v>
      </c>
      <c r="C75" s="141" t="s">
        <v>242</v>
      </c>
      <c r="D75" s="141">
        <v>5500</v>
      </c>
      <c r="E75" s="141">
        <v>60500</v>
      </c>
      <c r="F75" s="141">
        <v>55000</v>
      </c>
      <c r="G75" s="141" t="s">
        <v>8</v>
      </c>
      <c r="H75" s="145">
        <f t="shared" si="8"/>
        <v>55000</v>
      </c>
      <c r="I75" s="70"/>
      <c r="J75" s="70"/>
      <c r="K75" s="70"/>
      <c r="L75" s="141"/>
      <c r="M75" s="141"/>
      <c r="N75" s="142">
        <f>+H75</f>
        <v>55000</v>
      </c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6">
        <f t="shared" si="6"/>
        <v>55000</v>
      </c>
      <c r="AC75" s="6">
        <f t="shared" si="7"/>
        <v>0</v>
      </c>
      <c r="AD75" s="141" t="s">
        <v>743</v>
      </c>
    </row>
    <row r="76" spans="1:30">
      <c r="A76" s="141" t="s">
        <v>290</v>
      </c>
      <c r="B76" s="141" t="s">
        <v>87</v>
      </c>
      <c r="C76" s="141" t="s">
        <v>88</v>
      </c>
      <c r="D76" s="141">
        <v>9090.91</v>
      </c>
      <c r="E76" s="141">
        <v>100000</v>
      </c>
      <c r="F76" s="141">
        <v>90909.09</v>
      </c>
      <c r="G76" s="141" t="s">
        <v>8</v>
      </c>
      <c r="H76" s="145">
        <f t="shared" si="8"/>
        <v>90909.09</v>
      </c>
      <c r="I76" s="142"/>
      <c r="J76" s="141"/>
      <c r="K76" s="141"/>
      <c r="L76" s="141"/>
      <c r="M76" s="141"/>
      <c r="N76" s="141"/>
      <c r="O76" s="141"/>
      <c r="P76" s="142">
        <f>+H76</f>
        <v>90909.09</v>
      </c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  <c r="AB76" s="6">
        <f t="shared" si="6"/>
        <v>90909.09</v>
      </c>
      <c r="AC76" s="6">
        <f t="shared" si="7"/>
        <v>0</v>
      </c>
      <c r="AD76" s="141" t="s">
        <v>743</v>
      </c>
    </row>
    <row r="77" spans="1:30">
      <c r="A77" s="141" t="s">
        <v>290</v>
      </c>
      <c r="B77" s="141" t="s">
        <v>241</v>
      </c>
      <c r="C77" s="141" t="s">
        <v>242</v>
      </c>
      <c r="D77" s="141">
        <v>28000</v>
      </c>
      <c r="E77" s="141">
        <v>308000</v>
      </c>
      <c r="F77" s="141">
        <v>280000</v>
      </c>
      <c r="G77" s="141" t="s">
        <v>8</v>
      </c>
      <c r="H77" s="145">
        <f t="shared" si="8"/>
        <v>280000</v>
      </c>
      <c r="I77" s="70"/>
      <c r="J77" s="141"/>
      <c r="K77" s="141"/>
      <c r="L77" s="141"/>
      <c r="M77" s="142"/>
      <c r="N77" s="142">
        <f>+H77</f>
        <v>280000</v>
      </c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  <c r="AB77" s="6">
        <f t="shared" si="6"/>
        <v>280000</v>
      </c>
      <c r="AC77" s="6">
        <f t="shared" si="7"/>
        <v>0</v>
      </c>
      <c r="AD77" s="141" t="s">
        <v>743</v>
      </c>
    </row>
    <row r="78" spans="1:30">
      <c r="A78" s="141" t="s">
        <v>290</v>
      </c>
      <c r="B78" s="141" t="s">
        <v>241</v>
      </c>
      <c r="C78" s="141" t="s">
        <v>242</v>
      </c>
      <c r="D78" s="141">
        <v>53000</v>
      </c>
      <c r="E78" s="141">
        <v>583000</v>
      </c>
      <c r="F78" s="141">
        <v>530000</v>
      </c>
      <c r="G78" s="141" t="s">
        <v>8</v>
      </c>
      <c r="H78" s="145">
        <f t="shared" si="8"/>
        <v>530000</v>
      </c>
      <c r="I78" s="141"/>
      <c r="J78" s="141"/>
      <c r="K78" s="141"/>
      <c r="L78" s="141"/>
      <c r="M78" s="141"/>
      <c r="N78" s="142">
        <f>+H78</f>
        <v>530000</v>
      </c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  <c r="AB78" s="6">
        <f t="shared" si="6"/>
        <v>530000</v>
      </c>
      <c r="AC78" s="6">
        <f t="shared" si="7"/>
        <v>0</v>
      </c>
      <c r="AD78" s="141" t="s">
        <v>743</v>
      </c>
    </row>
    <row r="79" spans="1:30">
      <c r="A79" s="141" t="s">
        <v>289</v>
      </c>
      <c r="B79" s="141" t="s">
        <v>99</v>
      </c>
      <c r="C79" s="141" t="s">
        <v>100</v>
      </c>
      <c r="D79" s="141">
        <v>16714.29</v>
      </c>
      <c r="E79" s="141">
        <v>187200</v>
      </c>
      <c r="F79" s="141">
        <v>170485.71</v>
      </c>
      <c r="G79" s="141" t="s">
        <v>8</v>
      </c>
      <c r="H79" s="145">
        <f t="shared" si="8"/>
        <v>170485.71</v>
      </c>
      <c r="I79" s="142"/>
      <c r="J79" s="141"/>
      <c r="K79" s="142">
        <f>+H79</f>
        <v>170485.71</v>
      </c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  <c r="AB79" s="6">
        <f t="shared" si="6"/>
        <v>170485.71</v>
      </c>
      <c r="AC79" s="6">
        <f t="shared" si="7"/>
        <v>0</v>
      </c>
      <c r="AD79" s="141" t="s">
        <v>743</v>
      </c>
    </row>
    <row r="80" spans="1:30">
      <c r="A80" s="141" t="s">
        <v>282</v>
      </c>
      <c r="B80" s="141" t="s">
        <v>103</v>
      </c>
      <c r="C80" s="141" t="s">
        <v>104</v>
      </c>
      <c r="D80" s="141">
        <v>890.91</v>
      </c>
      <c r="E80" s="141">
        <v>9800</v>
      </c>
      <c r="F80" s="141">
        <v>8909.09</v>
      </c>
      <c r="G80" s="141" t="s">
        <v>8</v>
      </c>
      <c r="H80" s="145">
        <f t="shared" si="8"/>
        <v>8909.09</v>
      </c>
      <c r="I80" s="141"/>
      <c r="J80" s="141"/>
      <c r="K80" s="141"/>
      <c r="L80" s="141"/>
      <c r="M80" s="142">
        <f>+H80</f>
        <v>8909.09</v>
      </c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  <c r="AB80" s="6">
        <f t="shared" si="6"/>
        <v>8909.09</v>
      </c>
      <c r="AC80" s="6">
        <f t="shared" si="7"/>
        <v>0</v>
      </c>
      <c r="AD80" s="141" t="s">
        <v>743</v>
      </c>
    </row>
    <row r="81" spans="1:30">
      <c r="A81" s="141" t="s">
        <v>282</v>
      </c>
      <c r="B81" s="141" t="s">
        <v>285</v>
      </c>
      <c r="C81" s="141" t="s">
        <v>286</v>
      </c>
      <c r="D81" s="141">
        <v>2018.18</v>
      </c>
      <c r="E81" s="141">
        <v>22200</v>
      </c>
      <c r="F81" s="141">
        <v>20181.82</v>
      </c>
      <c r="G81" s="141" t="s">
        <v>8</v>
      </c>
      <c r="H81" s="145">
        <f t="shared" si="8"/>
        <v>20181.82</v>
      </c>
      <c r="I81" s="141"/>
      <c r="J81" s="142"/>
      <c r="K81" s="142">
        <f>+H81</f>
        <v>20181.82</v>
      </c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  <c r="AB81" s="6">
        <f t="shared" si="6"/>
        <v>20181.82</v>
      </c>
      <c r="AC81" s="6">
        <f t="shared" si="7"/>
        <v>0</v>
      </c>
      <c r="AD81" s="141" t="s">
        <v>743</v>
      </c>
    </row>
    <row r="82" spans="1:30">
      <c r="A82" s="141" t="s">
        <v>282</v>
      </c>
      <c r="B82" s="141" t="s">
        <v>287</v>
      </c>
      <c r="C82" s="141" t="s">
        <v>288</v>
      </c>
      <c r="D82" s="141">
        <v>4545.46</v>
      </c>
      <c r="E82" s="141">
        <v>50000</v>
      </c>
      <c r="F82" s="141">
        <v>45454.54</v>
      </c>
      <c r="G82" s="141" t="s">
        <v>8</v>
      </c>
      <c r="H82" s="145">
        <f t="shared" si="8"/>
        <v>45454.54</v>
      </c>
      <c r="I82" s="141"/>
      <c r="J82" s="141"/>
      <c r="K82" s="142">
        <f>+H82</f>
        <v>45454.54</v>
      </c>
      <c r="L82" s="141"/>
      <c r="M82" s="141"/>
      <c r="N82" s="141"/>
      <c r="O82" s="141"/>
      <c r="P82" s="141"/>
      <c r="Q82" s="141"/>
      <c r="R82" s="143"/>
      <c r="S82" s="141"/>
      <c r="T82" s="144"/>
      <c r="U82" s="141"/>
      <c r="V82" s="143"/>
      <c r="W82" s="143"/>
      <c r="X82" s="143"/>
      <c r="Y82" s="143"/>
      <c r="Z82" s="143"/>
      <c r="AA82" s="141"/>
      <c r="AB82" s="6">
        <f t="shared" si="6"/>
        <v>45454.54</v>
      </c>
      <c r="AC82" s="6">
        <f t="shared" si="7"/>
        <v>0</v>
      </c>
      <c r="AD82" s="141"/>
    </row>
    <row r="83" spans="1:30">
      <c r="A83" s="141" t="s">
        <v>282</v>
      </c>
      <c r="B83" s="141" t="s">
        <v>283</v>
      </c>
      <c r="C83" s="141" t="s">
        <v>284</v>
      </c>
      <c r="D83" s="141">
        <v>9090.91</v>
      </c>
      <c r="E83" s="141">
        <v>100000</v>
      </c>
      <c r="F83" s="141">
        <v>90909.09</v>
      </c>
      <c r="G83" s="141" t="s">
        <v>8</v>
      </c>
      <c r="H83" s="145">
        <f t="shared" si="8"/>
        <v>90909.09</v>
      </c>
      <c r="I83" s="70"/>
      <c r="J83" s="141"/>
      <c r="K83" s="141"/>
      <c r="L83" s="141"/>
      <c r="M83" s="141"/>
      <c r="N83" s="141"/>
      <c r="O83" s="141"/>
      <c r="P83" s="142">
        <f>+H83</f>
        <v>90909.09</v>
      </c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  <c r="AB83" s="6">
        <f t="shared" si="6"/>
        <v>90909.09</v>
      </c>
      <c r="AC83" s="6">
        <f t="shared" si="7"/>
        <v>0</v>
      </c>
      <c r="AD83" s="141" t="s">
        <v>743</v>
      </c>
    </row>
    <row r="84" spans="1:30" ht="34.5">
      <c r="A84" s="141" t="s">
        <v>281</v>
      </c>
      <c r="B84" s="146" t="s">
        <v>970</v>
      </c>
      <c r="C84" s="146" t="s">
        <v>971</v>
      </c>
      <c r="D84" s="146" t="s">
        <v>972</v>
      </c>
      <c r="E84" s="84"/>
      <c r="F84" s="146">
        <v>1</v>
      </c>
      <c r="G84" s="146" t="s">
        <v>515</v>
      </c>
      <c r="H84" s="147">
        <v>1550000</v>
      </c>
      <c r="I84" s="141"/>
      <c r="J84" s="141"/>
      <c r="K84" s="143"/>
      <c r="L84" s="141"/>
      <c r="M84" s="151">
        <f>+H84</f>
        <v>1550000</v>
      </c>
      <c r="N84" s="141"/>
      <c r="O84" s="141"/>
      <c r="P84" s="143"/>
      <c r="Q84" s="143"/>
      <c r="R84" s="141"/>
      <c r="S84" s="141"/>
      <c r="T84" s="141"/>
      <c r="U84" s="141"/>
      <c r="V84" s="141"/>
      <c r="W84" s="141"/>
      <c r="X84" s="141"/>
      <c r="Y84" s="141"/>
      <c r="Z84" s="141"/>
      <c r="AA84" s="141"/>
      <c r="AB84" s="6">
        <f t="shared" si="6"/>
        <v>1550000</v>
      </c>
      <c r="AC84" s="6">
        <f t="shared" si="7"/>
        <v>0</v>
      </c>
      <c r="AD84" s="141" t="s">
        <v>743</v>
      </c>
    </row>
    <row r="85" spans="1:30">
      <c r="A85" s="141" t="s">
        <v>281</v>
      </c>
      <c r="B85" s="141" t="s">
        <v>78</v>
      </c>
      <c r="C85" s="141" t="s">
        <v>79</v>
      </c>
      <c r="D85" s="141">
        <v>9445.4500000000007</v>
      </c>
      <c r="E85" s="141">
        <v>103900</v>
      </c>
      <c r="F85" s="141">
        <v>94454.55</v>
      </c>
      <c r="G85" s="141" t="s">
        <v>8</v>
      </c>
      <c r="H85" s="145">
        <f>+E85-D85</f>
        <v>94454.55</v>
      </c>
      <c r="I85" s="142"/>
      <c r="J85" s="141"/>
      <c r="K85" s="70">
        <v>94454.55</v>
      </c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  <c r="AB85" s="6">
        <f t="shared" si="6"/>
        <v>94454.55</v>
      </c>
      <c r="AC85" s="6">
        <f t="shared" si="7"/>
        <v>0</v>
      </c>
      <c r="AD85" s="141" t="s">
        <v>743</v>
      </c>
    </row>
    <row r="86" spans="1:30">
      <c r="A86" s="141" t="s">
        <v>281</v>
      </c>
      <c r="B86" s="141" t="s">
        <v>241</v>
      </c>
      <c r="C86" s="141" t="s">
        <v>242</v>
      </c>
      <c r="D86" s="141">
        <v>11200</v>
      </c>
      <c r="E86" s="141">
        <v>123200</v>
      </c>
      <c r="F86" s="141">
        <v>112000</v>
      </c>
      <c r="G86" s="141" t="s">
        <v>8</v>
      </c>
      <c r="H86" s="145">
        <f>+E86-D86</f>
        <v>112000</v>
      </c>
      <c r="I86" s="141"/>
      <c r="J86" s="141"/>
      <c r="K86" s="141"/>
      <c r="L86" s="141"/>
      <c r="M86" s="141"/>
      <c r="N86" s="142">
        <f>+H86</f>
        <v>112000</v>
      </c>
      <c r="O86" s="141"/>
      <c r="P86" s="141"/>
      <c r="Q86" s="141"/>
      <c r="R86" s="143"/>
      <c r="S86" s="141"/>
      <c r="T86" s="144"/>
      <c r="U86" s="141"/>
      <c r="V86" s="143"/>
      <c r="W86" s="143"/>
      <c r="X86" s="143"/>
      <c r="Y86" s="143"/>
      <c r="Z86" s="143"/>
      <c r="AA86" s="141"/>
      <c r="AB86" s="6">
        <f t="shared" si="6"/>
        <v>112000</v>
      </c>
      <c r="AC86" s="6">
        <f t="shared" si="7"/>
        <v>0</v>
      </c>
      <c r="AD86" s="141"/>
    </row>
    <row r="87" spans="1:30">
      <c r="A87" s="141" t="s">
        <v>281</v>
      </c>
      <c r="B87" s="141" t="s">
        <v>241</v>
      </c>
      <c r="C87" s="141" t="s">
        <v>242</v>
      </c>
      <c r="D87" s="141">
        <v>36000</v>
      </c>
      <c r="E87" s="141">
        <v>396000</v>
      </c>
      <c r="F87" s="141">
        <v>360000</v>
      </c>
      <c r="G87" s="141" t="s">
        <v>8</v>
      </c>
      <c r="H87" s="145">
        <f>+E87-D87</f>
        <v>360000</v>
      </c>
      <c r="I87" s="141"/>
      <c r="J87" s="141"/>
      <c r="K87" s="141"/>
      <c r="L87" s="141"/>
      <c r="M87" s="141"/>
      <c r="N87" s="142">
        <f>+H87</f>
        <v>360000</v>
      </c>
      <c r="O87" s="141"/>
      <c r="P87" s="141"/>
      <c r="Q87" s="141"/>
      <c r="R87" s="143"/>
      <c r="S87" s="141"/>
      <c r="T87" s="144"/>
      <c r="U87" s="141"/>
      <c r="V87" s="143"/>
      <c r="W87" s="143"/>
      <c r="X87" s="143"/>
      <c r="Y87" s="143"/>
      <c r="Z87" s="143"/>
      <c r="AA87" s="141"/>
      <c r="AB87" s="6">
        <f t="shared" si="6"/>
        <v>360000</v>
      </c>
      <c r="AC87" s="6">
        <f t="shared" si="7"/>
        <v>0</v>
      </c>
      <c r="AD87" s="141"/>
    </row>
    <row r="88" spans="1:30">
      <c r="A88" s="141" t="s">
        <v>281</v>
      </c>
      <c r="B88" s="141" t="s">
        <v>241</v>
      </c>
      <c r="C88" s="141" t="s">
        <v>242</v>
      </c>
      <c r="D88" s="141">
        <v>44000</v>
      </c>
      <c r="E88" s="141">
        <v>484000</v>
      </c>
      <c r="F88" s="141">
        <v>440000</v>
      </c>
      <c r="G88" s="141" t="s">
        <v>8</v>
      </c>
      <c r="H88" s="145">
        <f>+E88-D88</f>
        <v>440000</v>
      </c>
      <c r="I88" s="70"/>
      <c r="J88" s="141"/>
      <c r="K88" s="141"/>
      <c r="L88" s="141"/>
      <c r="M88" s="141"/>
      <c r="N88" s="142">
        <f>+H88</f>
        <v>440000</v>
      </c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  <c r="AB88" s="6">
        <f t="shared" si="6"/>
        <v>440000</v>
      </c>
      <c r="AC88" s="6">
        <f t="shared" si="7"/>
        <v>0</v>
      </c>
      <c r="AD88" s="141" t="s">
        <v>743</v>
      </c>
    </row>
    <row r="89" spans="1:30">
      <c r="A89" s="141" t="s">
        <v>281</v>
      </c>
      <c r="B89" s="141" t="s">
        <v>59</v>
      </c>
      <c r="C89" s="141" t="s">
        <v>60</v>
      </c>
      <c r="D89" s="141">
        <v>0</v>
      </c>
      <c r="E89" s="141">
        <v>1748126.86</v>
      </c>
      <c r="F89" s="141">
        <v>1748126.86</v>
      </c>
      <c r="G89" s="141" t="s">
        <v>55</v>
      </c>
      <c r="H89" s="145">
        <v>1748126.86</v>
      </c>
      <c r="I89" s="70"/>
      <c r="J89" s="70">
        <v>1748126.86</v>
      </c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  <c r="AB89" s="6">
        <f t="shared" si="6"/>
        <v>1748126.86</v>
      </c>
      <c r="AC89" s="6">
        <f t="shared" si="7"/>
        <v>0</v>
      </c>
      <c r="AD89" s="141" t="s">
        <v>743</v>
      </c>
    </row>
    <row r="90" spans="1:30" ht="69">
      <c r="A90" s="141" t="s">
        <v>278</v>
      </c>
      <c r="B90" s="146" t="s">
        <v>953</v>
      </c>
      <c r="C90" s="146" t="s">
        <v>954</v>
      </c>
      <c r="D90" s="146" t="s">
        <v>955</v>
      </c>
      <c r="E90" s="84"/>
      <c r="F90" s="146">
        <v>1</v>
      </c>
      <c r="G90" s="146" t="s">
        <v>515</v>
      </c>
      <c r="H90" s="147">
        <v>500000</v>
      </c>
      <c r="I90" s="142">
        <f>+H90</f>
        <v>500000</v>
      </c>
      <c r="J90" s="141"/>
      <c r="K90" s="143"/>
      <c r="L90" s="141"/>
      <c r="M90" s="143"/>
      <c r="N90" s="141"/>
      <c r="O90" s="141"/>
      <c r="P90" s="143"/>
      <c r="Q90" s="143"/>
      <c r="R90" s="141"/>
      <c r="S90" s="141"/>
      <c r="T90" s="141"/>
      <c r="U90" s="141"/>
      <c r="V90" s="141"/>
      <c r="W90" s="141"/>
      <c r="X90" s="141"/>
      <c r="Y90" s="141"/>
      <c r="Z90" s="141"/>
      <c r="AA90" s="141"/>
      <c r="AB90" s="6">
        <f t="shared" si="6"/>
        <v>500000</v>
      </c>
      <c r="AC90" s="6">
        <f t="shared" si="7"/>
        <v>0</v>
      </c>
      <c r="AD90" s="141" t="s">
        <v>743</v>
      </c>
    </row>
    <row r="91" spans="1:30">
      <c r="A91" s="141" t="s">
        <v>278</v>
      </c>
      <c r="B91" s="141" t="s">
        <v>279</v>
      </c>
      <c r="C91" s="141" t="s">
        <v>280</v>
      </c>
      <c r="D91" s="141">
        <v>9090.91</v>
      </c>
      <c r="E91" s="141">
        <v>100000</v>
      </c>
      <c r="F91" s="141">
        <v>90909.09</v>
      </c>
      <c r="G91" s="141" t="s">
        <v>8</v>
      </c>
      <c r="H91" s="145">
        <f>+E91-D91</f>
        <v>90909.09</v>
      </c>
      <c r="I91" s="142"/>
      <c r="J91" s="141"/>
      <c r="K91" s="141"/>
      <c r="L91" s="141"/>
      <c r="M91" s="141"/>
      <c r="N91" s="141"/>
      <c r="O91" s="141"/>
      <c r="P91" s="142">
        <f>+H91</f>
        <v>90909.09</v>
      </c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  <c r="AB91" s="6">
        <f t="shared" si="6"/>
        <v>90909.09</v>
      </c>
      <c r="AC91" s="6">
        <f t="shared" si="7"/>
        <v>0</v>
      </c>
      <c r="AD91" s="141" t="s">
        <v>743</v>
      </c>
    </row>
    <row r="92" spans="1:30">
      <c r="A92" s="141" t="s">
        <v>278</v>
      </c>
      <c r="B92" s="141" t="s">
        <v>64</v>
      </c>
      <c r="C92" s="141" t="s">
        <v>65</v>
      </c>
      <c r="D92" s="141">
        <v>0</v>
      </c>
      <c r="E92" s="141">
        <v>154899.82999999999</v>
      </c>
      <c r="F92" s="141">
        <v>154899.82999999999</v>
      </c>
      <c r="G92" s="141" t="s">
        <v>55</v>
      </c>
      <c r="H92" s="145">
        <v>154899.82999999999</v>
      </c>
      <c r="I92" s="142"/>
      <c r="J92" s="70">
        <v>154899.82999999999</v>
      </c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  <c r="AB92" s="6">
        <f t="shared" si="6"/>
        <v>154899.82999999999</v>
      </c>
      <c r="AC92" s="6">
        <f t="shared" si="7"/>
        <v>0</v>
      </c>
      <c r="AD92" s="141" t="s">
        <v>743</v>
      </c>
    </row>
    <row r="93" spans="1:30">
      <c r="A93" s="141" t="s">
        <v>278</v>
      </c>
      <c r="B93" s="141" t="s">
        <v>64</v>
      </c>
      <c r="C93" s="141" t="s">
        <v>65</v>
      </c>
      <c r="D93" s="141">
        <v>0</v>
      </c>
      <c r="E93" s="141">
        <v>8579898.7400000002</v>
      </c>
      <c r="F93" s="141">
        <v>8579898.7400000002</v>
      </c>
      <c r="G93" s="141" t="s">
        <v>55</v>
      </c>
      <c r="H93" s="145">
        <v>8579898.7400000002</v>
      </c>
      <c r="I93" s="141"/>
      <c r="J93" s="70">
        <v>8579898.7400000002</v>
      </c>
      <c r="K93" s="70"/>
      <c r="L93" s="141"/>
      <c r="M93" s="70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  <c r="AB93" s="6">
        <f t="shared" si="6"/>
        <v>8579898.7400000002</v>
      </c>
      <c r="AC93" s="6">
        <f t="shared" si="7"/>
        <v>0</v>
      </c>
      <c r="AD93" s="141" t="s">
        <v>743</v>
      </c>
    </row>
    <row r="94" spans="1:30" ht="80.5">
      <c r="A94" s="141" t="s">
        <v>275</v>
      </c>
      <c r="B94" s="146" t="s">
        <v>936</v>
      </c>
      <c r="C94" s="146" t="s">
        <v>937</v>
      </c>
      <c r="D94" s="146" t="s">
        <v>938</v>
      </c>
      <c r="E94" s="84"/>
      <c r="F94" s="146">
        <v>1</v>
      </c>
      <c r="G94" s="146" t="s">
        <v>515</v>
      </c>
      <c r="H94" s="147">
        <v>134100</v>
      </c>
      <c r="I94" s="141"/>
      <c r="J94" s="141"/>
      <c r="K94" s="143"/>
      <c r="L94" s="141"/>
      <c r="M94" s="143">
        <v>134100</v>
      </c>
      <c r="N94" s="141"/>
      <c r="O94" s="141"/>
      <c r="P94" s="143"/>
      <c r="Q94" s="143"/>
      <c r="R94" s="141"/>
      <c r="S94" s="141"/>
      <c r="T94" s="141"/>
      <c r="U94" s="141"/>
      <c r="V94" s="141"/>
      <c r="W94" s="141"/>
      <c r="X94" s="141"/>
      <c r="Y94" s="141"/>
      <c r="Z94" s="141"/>
      <c r="AA94" s="141"/>
      <c r="AB94" s="6">
        <f t="shared" si="6"/>
        <v>134100</v>
      </c>
      <c r="AC94" s="6">
        <f t="shared" si="7"/>
        <v>0</v>
      </c>
      <c r="AD94" s="141" t="s">
        <v>743</v>
      </c>
    </row>
    <row r="95" spans="1:30" ht="69">
      <c r="A95" s="141" t="s">
        <v>275</v>
      </c>
      <c r="B95" s="146" t="s">
        <v>946</v>
      </c>
      <c r="C95" s="146" t="s">
        <v>947</v>
      </c>
      <c r="D95" s="146" t="s">
        <v>948</v>
      </c>
      <c r="E95" s="84"/>
      <c r="F95" s="146">
        <v>1</v>
      </c>
      <c r="G95" s="146" t="s">
        <v>515</v>
      </c>
      <c r="H95" s="147">
        <v>285600</v>
      </c>
      <c r="I95" s="141"/>
      <c r="J95" s="141"/>
      <c r="K95" s="143">
        <v>285600</v>
      </c>
      <c r="L95" s="141"/>
      <c r="M95" s="143"/>
      <c r="N95" s="141"/>
      <c r="O95" s="141"/>
      <c r="P95" s="143"/>
      <c r="Q95" s="143"/>
      <c r="R95" s="141"/>
      <c r="S95" s="141"/>
      <c r="T95" s="141"/>
      <c r="U95" s="141"/>
      <c r="V95" s="141"/>
      <c r="W95" s="141"/>
      <c r="X95" s="141"/>
      <c r="Y95" s="141"/>
      <c r="Z95" s="141"/>
      <c r="AA95" s="141"/>
      <c r="AB95" s="6">
        <f t="shared" si="6"/>
        <v>285600</v>
      </c>
      <c r="AC95" s="6">
        <f t="shared" si="7"/>
        <v>0</v>
      </c>
      <c r="AD95" s="141" t="s">
        <v>743</v>
      </c>
    </row>
    <row r="96" spans="1:30" ht="57.5">
      <c r="A96" s="141" t="s">
        <v>275</v>
      </c>
      <c r="B96" s="146" t="s">
        <v>949</v>
      </c>
      <c r="C96" s="146" t="s">
        <v>950</v>
      </c>
      <c r="D96" s="146" t="s">
        <v>951</v>
      </c>
      <c r="E96" s="84"/>
      <c r="F96" s="146">
        <v>1</v>
      </c>
      <c r="G96" s="146" t="s">
        <v>515</v>
      </c>
      <c r="H96" s="147">
        <v>287500</v>
      </c>
      <c r="I96" s="141"/>
      <c r="J96" s="141"/>
      <c r="K96" s="143">
        <v>287500</v>
      </c>
      <c r="L96" s="141"/>
      <c r="M96" s="143"/>
      <c r="N96" s="141"/>
      <c r="O96" s="141"/>
      <c r="P96" s="143"/>
      <c r="Q96" s="143"/>
      <c r="R96" s="141"/>
      <c r="S96" s="141"/>
      <c r="T96" s="141"/>
      <c r="U96" s="141"/>
      <c r="V96" s="141"/>
      <c r="W96" s="141"/>
      <c r="X96" s="141"/>
      <c r="Y96" s="141"/>
      <c r="Z96" s="141"/>
      <c r="AA96" s="141"/>
      <c r="AB96" s="6">
        <f t="shared" si="6"/>
        <v>287500</v>
      </c>
      <c r="AC96" s="6">
        <f t="shared" si="7"/>
        <v>0</v>
      </c>
      <c r="AD96" s="141" t="s">
        <v>743</v>
      </c>
    </row>
    <row r="97" spans="1:30" ht="69">
      <c r="A97" s="141" t="s">
        <v>275</v>
      </c>
      <c r="B97" s="146" t="s">
        <v>952</v>
      </c>
      <c r="C97" s="146" t="s">
        <v>914</v>
      </c>
      <c r="D97" s="146" t="s">
        <v>915</v>
      </c>
      <c r="E97" s="146">
        <v>1</v>
      </c>
      <c r="F97" s="84"/>
      <c r="G97" s="146" t="s">
        <v>515</v>
      </c>
      <c r="H97" s="147">
        <v>411250</v>
      </c>
      <c r="I97" s="141"/>
      <c r="J97" s="141"/>
      <c r="K97" s="143">
        <v>411250</v>
      </c>
      <c r="L97" s="141"/>
      <c r="M97" s="143"/>
      <c r="N97" s="141"/>
      <c r="O97" s="141"/>
      <c r="P97" s="143"/>
      <c r="Q97" s="143"/>
      <c r="R97" s="141"/>
      <c r="S97" s="141"/>
      <c r="T97" s="141"/>
      <c r="U97" s="141"/>
      <c r="V97" s="141"/>
      <c r="W97" s="141"/>
      <c r="X97" s="141"/>
      <c r="Y97" s="141"/>
      <c r="Z97" s="141"/>
      <c r="AA97" s="141"/>
      <c r="AB97" s="6">
        <f t="shared" si="6"/>
        <v>411250</v>
      </c>
      <c r="AC97" s="6">
        <f t="shared" si="7"/>
        <v>0</v>
      </c>
      <c r="AD97" s="141" t="s">
        <v>743</v>
      </c>
    </row>
    <row r="98" spans="1:30" ht="69">
      <c r="A98" s="141" t="s">
        <v>275</v>
      </c>
      <c r="B98" s="149" t="s">
        <v>956</v>
      </c>
      <c r="C98" s="149" t="s">
        <v>930</v>
      </c>
      <c r="D98" s="149" t="s">
        <v>931</v>
      </c>
      <c r="E98" s="84"/>
      <c r="F98" s="149">
        <v>1</v>
      </c>
      <c r="G98" s="149" t="s">
        <v>515</v>
      </c>
      <c r="H98" s="145">
        <v>500000</v>
      </c>
      <c r="I98" s="142">
        <f>+H98</f>
        <v>500000</v>
      </c>
      <c r="J98" s="141"/>
      <c r="K98" s="143"/>
      <c r="L98" s="141"/>
      <c r="M98" s="143"/>
      <c r="N98" s="141"/>
      <c r="O98" s="141"/>
      <c r="P98" s="143"/>
      <c r="Q98" s="143"/>
      <c r="R98" s="143"/>
      <c r="S98" s="141"/>
      <c r="T98" s="144"/>
      <c r="U98" s="141"/>
      <c r="V98" s="143"/>
      <c r="W98" s="143"/>
      <c r="X98" s="143"/>
      <c r="Y98" s="143"/>
      <c r="Z98" s="143"/>
      <c r="AA98" s="141"/>
      <c r="AB98" s="6">
        <f t="shared" si="6"/>
        <v>500000</v>
      </c>
      <c r="AC98" s="6">
        <f t="shared" si="7"/>
        <v>0</v>
      </c>
      <c r="AD98" s="141"/>
    </row>
    <row r="99" spans="1:30" ht="57.5">
      <c r="A99" s="141" t="s">
        <v>275</v>
      </c>
      <c r="B99" s="146" t="s">
        <v>960</v>
      </c>
      <c r="C99" s="146" t="s">
        <v>961</v>
      </c>
      <c r="D99" s="146" t="s">
        <v>962</v>
      </c>
      <c r="E99" s="84"/>
      <c r="F99" s="146">
        <v>1</v>
      </c>
      <c r="G99" s="146" t="s">
        <v>515</v>
      </c>
      <c r="H99" s="147">
        <v>572000</v>
      </c>
      <c r="I99" s="141"/>
      <c r="J99" s="141"/>
      <c r="K99" s="143"/>
      <c r="L99" s="141"/>
      <c r="M99" s="143"/>
      <c r="N99" s="141"/>
      <c r="O99" s="141">
        <v>572000</v>
      </c>
      <c r="P99" s="143"/>
      <c r="Q99" s="143"/>
      <c r="R99" s="143"/>
      <c r="S99" s="141"/>
      <c r="T99" s="144"/>
      <c r="U99" s="143"/>
      <c r="V99" s="143"/>
      <c r="W99" s="143"/>
      <c r="X99" s="143"/>
      <c r="Y99" s="143"/>
      <c r="Z99" s="143"/>
      <c r="AA99" s="141"/>
      <c r="AB99" s="6">
        <f t="shared" si="6"/>
        <v>572000</v>
      </c>
      <c r="AC99" s="6">
        <f t="shared" si="7"/>
        <v>0</v>
      </c>
      <c r="AD99" s="141"/>
    </row>
    <row r="100" spans="1:30" ht="69">
      <c r="A100" s="141" t="s">
        <v>275</v>
      </c>
      <c r="B100" s="149" t="s">
        <v>965</v>
      </c>
      <c r="C100" s="149" t="s">
        <v>930</v>
      </c>
      <c r="D100" s="149" t="s">
        <v>931</v>
      </c>
      <c r="E100" s="84"/>
      <c r="F100" s="149">
        <v>1</v>
      </c>
      <c r="G100" s="149" t="s">
        <v>515</v>
      </c>
      <c r="H100" s="145">
        <v>500000</v>
      </c>
      <c r="I100" s="142">
        <f>+H100</f>
        <v>500000</v>
      </c>
      <c r="J100" s="141"/>
      <c r="K100" s="143"/>
      <c r="L100" s="141"/>
      <c r="M100" s="143"/>
      <c r="N100" s="141"/>
      <c r="O100" s="141"/>
      <c r="P100" s="143"/>
      <c r="Q100" s="143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  <c r="AB100" s="6">
        <f t="shared" si="6"/>
        <v>500000</v>
      </c>
      <c r="AC100" s="6">
        <f t="shared" si="7"/>
        <v>0</v>
      </c>
      <c r="AD100" s="141" t="s">
        <v>743</v>
      </c>
    </row>
    <row r="101" spans="1:30" ht="46">
      <c r="A101" s="141" t="s">
        <v>275</v>
      </c>
      <c r="B101" s="146" t="s">
        <v>973</v>
      </c>
      <c r="C101" s="146" t="s">
        <v>974</v>
      </c>
      <c r="D101" s="146" t="s">
        <v>975</v>
      </c>
      <c r="E101" s="84"/>
      <c r="F101" s="146">
        <v>1</v>
      </c>
      <c r="G101" s="146" t="s">
        <v>515</v>
      </c>
      <c r="H101" s="147">
        <v>1606000</v>
      </c>
      <c r="I101" s="141"/>
      <c r="J101" s="141"/>
      <c r="K101" s="143"/>
      <c r="L101" s="141"/>
      <c r="M101" s="143"/>
      <c r="N101" s="141">
        <v>1606000</v>
      </c>
      <c r="O101" s="141"/>
      <c r="P101" s="143"/>
      <c r="Q101" s="143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  <c r="AB101" s="6">
        <f t="shared" ref="AB101:AB132" si="9">SUM(I101:AA101)</f>
        <v>1606000</v>
      </c>
      <c r="AC101" s="6">
        <f t="shared" ref="AC101:AC132" si="10">+AB101-H101</f>
        <v>0</v>
      </c>
      <c r="AD101" s="141" t="s">
        <v>743</v>
      </c>
    </row>
    <row r="102" spans="1:30">
      <c r="A102" s="141" t="s">
        <v>275</v>
      </c>
      <c r="B102" s="141" t="s">
        <v>276</v>
      </c>
      <c r="C102" s="141" t="s">
        <v>277</v>
      </c>
      <c r="D102" s="141">
        <v>15000</v>
      </c>
      <c r="E102" s="141">
        <v>165000</v>
      </c>
      <c r="F102" s="141">
        <v>150000</v>
      </c>
      <c r="G102" s="141" t="s">
        <v>8</v>
      </c>
      <c r="H102" s="145">
        <f>+E102-D102</f>
        <v>150000</v>
      </c>
      <c r="I102" s="141"/>
      <c r="J102" s="141"/>
      <c r="K102" s="141"/>
      <c r="L102" s="141"/>
      <c r="M102" s="141"/>
      <c r="N102" s="141"/>
      <c r="O102" s="142">
        <f>+H102</f>
        <v>150000</v>
      </c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  <c r="AB102" s="6">
        <f t="shared" si="9"/>
        <v>150000</v>
      </c>
      <c r="AC102" s="6">
        <f t="shared" si="10"/>
        <v>0</v>
      </c>
      <c r="AD102" s="141" t="s">
        <v>743</v>
      </c>
    </row>
    <row r="103" spans="1:30">
      <c r="A103" s="141" t="s">
        <v>275</v>
      </c>
      <c r="B103" s="141" t="s">
        <v>190</v>
      </c>
      <c r="C103" s="141" t="s">
        <v>191</v>
      </c>
      <c r="D103" s="141">
        <v>52000</v>
      </c>
      <c r="E103" s="141">
        <v>572000</v>
      </c>
      <c r="F103" s="141">
        <v>520000</v>
      </c>
      <c r="G103" s="141" t="s">
        <v>8</v>
      </c>
      <c r="H103" s="145">
        <f>+E103-D103</f>
        <v>520000</v>
      </c>
      <c r="I103" s="70"/>
      <c r="J103" s="141"/>
      <c r="K103" s="141"/>
      <c r="L103" s="141"/>
      <c r="M103" s="70"/>
      <c r="N103" s="141"/>
      <c r="O103" s="142">
        <f>+H103</f>
        <v>520000</v>
      </c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  <c r="AB103" s="6">
        <f t="shared" si="9"/>
        <v>520000</v>
      </c>
      <c r="AC103" s="6">
        <f t="shared" si="10"/>
        <v>0</v>
      </c>
      <c r="AD103" s="141" t="s">
        <v>743</v>
      </c>
    </row>
    <row r="104" spans="1:30">
      <c r="A104" s="141" t="s">
        <v>275</v>
      </c>
      <c r="B104" s="141" t="s">
        <v>243</v>
      </c>
      <c r="C104" s="141" t="s">
        <v>244</v>
      </c>
      <c r="D104" s="141">
        <v>146000</v>
      </c>
      <c r="E104" s="141">
        <v>1606000</v>
      </c>
      <c r="F104" s="141">
        <v>1460000</v>
      </c>
      <c r="G104" s="141" t="s">
        <v>8</v>
      </c>
      <c r="H104" s="145">
        <f>+E104-D104</f>
        <v>1460000</v>
      </c>
      <c r="I104" s="141"/>
      <c r="J104" s="141"/>
      <c r="K104" s="141"/>
      <c r="L104" s="141"/>
      <c r="M104" s="141"/>
      <c r="N104" s="141"/>
      <c r="O104" s="142">
        <f>+H104</f>
        <v>1460000</v>
      </c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6">
        <f t="shared" si="9"/>
        <v>1460000</v>
      </c>
      <c r="AC104" s="6">
        <f t="shared" si="10"/>
        <v>0</v>
      </c>
      <c r="AD104" s="141" t="s">
        <v>743</v>
      </c>
    </row>
    <row r="105" spans="1:30" ht="69">
      <c r="A105" s="141" t="s">
        <v>268</v>
      </c>
      <c r="B105" s="146" t="s">
        <v>913</v>
      </c>
      <c r="C105" s="146" t="s">
        <v>914</v>
      </c>
      <c r="D105" s="146" t="s">
        <v>915</v>
      </c>
      <c r="E105" s="84"/>
      <c r="F105" s="146">
        <v>1</v>
      </c>
      <c r="G105" s="146" t="s">
        <v>515</v>
      </c>
      <c r="H105" s="147">
        <v>24000</v>
      </c>
      <c r="I105" s="142">
        <f>+H105</f>
        <v>24000</v>
      </c>
      <c r="J105" s="141"/>
      <c r="K105" s="143"/>
      <c r="L105" s="141"/>
      <c r="M105" s="143"/>
      <c r="N105" s="141"/>
      <c r="O105" s="141"/>
      <c r="P105" s="143"/>
      <c r="Q105" s="143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  <c r="AB105" s="6">
        <f t="shared" si="9"/>
        <v>24000</v>
      </c>
      <c r="AC105" s="6">
        <f t="shared" si="10"/>
        <v>0</v>
      </c>
      <c r="AD105" s="141" t="s">
        <v>743</v>
      </c>
    </row>
    <row r="106" spans="1:30" ht="34.5">
      <c r="A106" s="141" t="s">
        <v>268</v>
      </c>
      <c r="B106" s="155" t="s">
        <v>744</v>
      </c>
      <c r="C106" s="146" t="s">
        <v>922</v>
      </c>
      <c r="D106" s="146" t="s">
        <v>923</v>
      </c>
      <c r="E106" s="84"/>
      <c r="F106" s="146">
        <v>1</v>
      </c>
      <c r="G106" s="146" t="s">
        <v>515</v>
      </c>
      <c r="H106" s="147">
        <v>76486</v>
      </c>
      <c r="I106" s="142">
        <f>+H106</f>
        <v>76486</v>
      </c>
      <c r="J106" s="141"/>
      <c r="K106" s="143"/>
      <c r="L106" s="141"/>
      <c r="M106" s="143"/>
      <c r="N106" s="141"/>
      <c r="O106" s="141"/>
      <c r="P106" s="143"/>
      <c r="Q106" s="143"/>
      <c r="R106" s="143"/>
      <c r="S106" s="141"/>
      <c r="T106" s="144"/>
      <c r="U106" s="141"/>
      <c r="V106" s="143"/>
      <c r="W106" s="143"/>
      <c r="X106" s="143"/>
      <c r="Y106" s="143"/>
      <c r="Z106" s="143"/>
      <c r="AA106" s="141"/>
      <c r="AB106" s="6">
        <f t="shared" si="9"/>
        <v>76486</v>
      </c>
      <c r="AC106" s="6">
        <f t="shared" si="10"/>
        <v>0</v>
      </c>
      <c r="AD106" s="141"/>
    </row>
    <row r="107" spans="1:30">
      <c r="A107" s="141" t="s">
        <v>268</v>
      </c>
      <c r="B107" s="141" t="s">
        <v>156</v>
      </c>
      <c r="C107" s="141" t="s">
        <v>157</v>
      </c>
      <c r="D107" s="141">
        <v>6981.82</v>
      </c>
      <c r="E107" s="141">
        <v>76800</v>
      </c>
      <c r="F107" s="141">
        <v>69818.179999999993</v>
      </c>
      <c r="G107" s="141" t="s">
        <v>8</v>
      </c>
      <c r="H107" s="145">
        <f t="shared" ref="H107:H112" si="11">+E107-D107</f>
        <v>69818.179999999993</v>
      </c>
      <c r="I107" s="141"/>
      <c r="J107" s="141"/>
      <c r="K107" s="141"/>
      <c r="L107" s="141"/>
      <c r="M107" s="141"/>
      <c r="N107" s="141"/>
      <c r="O107" s="141"/>
      <c r="P107" s="142">
        <f>+H107</f>
        <v>69818.179999999993</v>
      </c>
      <c r="Q107" s="141"/>
      <c r="R107" s="143"/>
      <c r="S107" s="141"/>
      <c r="T107" s="144"/>
      <c r="U107" s="141"/>
      <c r="V107" s="143"/>
      <c r="W107" s="143"/>
      <c r="X107" s="143"/>
      <c r="Y107" s="143"/>
      <c r="Z107" s="143"/>
      <c r="AA107" s="141"/>
      <c r="AB107" s="6">
        <f t="shared" si="9"/>
        <v>69818.179999999993</v>
      </c>
      <c r="AC107" s="6">
        <f t="shared" si="10"/>
        <v>0</v>
      </c>
      <c r="AD107" s="141"/>
    </row>
    <row r="108" spans="1:30">
      <c r="A108" s="141" t="s">
        <v>268</v>
      </c>
      <c r="B108" s="141" t="s">
        <v>269</v>
      </c>
      <c r="C108" s="141" t="s">
        <v>270</v>
      </c>
      <c r="D108" s="141">
        <v>13473.21</v>
      </c>
      <c r="E108" s="141">
        <v>150900</v>
      </c>
      <c r="F108" s="141">
        <v>137426.79</v>
      </c>
      <c r="G108" s="141" t="s">
        <v>8</v>
      </c>
      <c r="H108" s="145">
        <f t="shared" si="11"/>
        <v>137426.79</v>
      </c>
      <c r="I108" s="141"/>
      <c r="J108" s="142"/>
      <c r="K108" s="141"/>
      <c r="L108" s="141"/>
      <c r="M108" s="141"/>
      <c r="N108" s="141"/>
      <c r="O108" s="142">
        <f>+H108</f>
        <v>137426.79</v>
      </c>
      <c r="P108" s="141"/>
      <c r="Q108" s="70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  <c r="AB108" s="6">
        <f t="shared" si="9"/>
        <v>137426.79</v>
      </c>
      <c r="AC108" s="6">
        <f t="shared" si="10"/>
        <v>0</v>
      </c>
      <c r="AD108" s="141" t="s">
        <v>743</v>
      </c>
    </row>
    <row r="109" spans="1:30">
      <c r="A109" s="141" t="s">
        <v>268</v>
      </c>
      <c r="B109" s="141" t="s">
        <v>10</v>
      </c>
      <c r="C109" s="141" t="s">
        <v>11</v>
      </c>
      <c r="D109" s="141">
        <v>14121.91</v>
      </c>
      <c r="E109" s="141">
        <v>155341</v>
      </c>
      <c r="F109" s="141">
        <v>141219.09</v>
      </c>
      <c r="G109" s="141" t="s">
        <v>8</v>
      </c>
      <c r="H109" s="145">
        <f t="shared" si="11"/>
        <v>141219.09</v>
      </c>
      <c r="I109" s="142"/>
      <c r="J109" s="141"/>
      <c r="K109" s="141"/>
      <c r="L109" s="141"/>
      <c r="M109" s="141"/>
      <c r="N109" s="141"/>
      <c r="O109" s="141"/>
      <c r="P109" s="142">
        <f>+H109</f>
        <v>141219.09</v>
      </c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  <c r="AB109" s="6">
        <f t="shared" si="9"/>
        <v>141219.09</v>
      </c>
      <c r="AC109" s="6">
        <f t="shared" si="10"/>
        <v>0</v>
      </c>
      <c r="AD109" s="141" t="s">
        <v>743</v>
      </c>
    </row>
    <row r="110" spans="1:30">
      <c r="A110" s="141" t="s">
        <v>268</v>
      </c>
      <c r="B110" s="141" t="s">
        <v>271</v>
      </c>
      <c r="C110" s="141" t="s">
        <v>272</v>
      </c>
      <c r="D110" s="141">
        <v>29090.909091000001</v>
      </c>
      <c r="E110" s="141">
        <v>320000</v>
      </c>
      <c r="F110" s="141">
        <v>290909.09090900002</v>
      </c>
      <c r="G110" s="141" t="s">
        <v>8</v>
      </c>
      <c r="H110" s="145">
        <f t="shared" si="11"/>
        <v>290909.09090900002</v>
      </c>
      <c r="I110" s="141"/>
      <c r="J110" s="141"/>
      <c r="K110" s="141"/>
      <c r="L110" s="141"/>
      <c r="M110" s="70"/>
      <c r="N110" s="141"/>
      <c r="O110" s="70">
        <v>290909.09090900002</v>
      </c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6">
        <f t="shared" si="9"/>
        <v>290909.09090900002</v>
      </c>
      <c r="AC110" s="6">
        <f t="shared" si="10"/>
        <v>0</v>
      </c>
      <c r="AD110" s="141" t="s">
        <v>743</v>
      </c>
    </row>
    <row r="111" spans="1:30">
      <c r="A111" s="141" t="s">
        <v>268</v>
      </c>
      <c r="B111" s="141" t="s">
        <v>178</v>
      </c>
      <c r="C111" s="141" t="s">
        <v>179</v>
      </c>
      <c r="D111" s="141">
        <v>283181.82</v>
      </c>
      <c r="E111" s="141">
        <v>3115000</v>
      </c>
      <c r="F111" s="141">
        <v>2831818.18</v>
      </c>
      <c r="G111" s="141" t="s">
        <v>8</v>
      </c>
      <c r="H111" s="145">
        <f t="shared" si="11"/>
        <v>2831818.18</v>
      </c>
      <c r="I111" s="70"/>
      <c r="J111" s="141"/>
      <c r="K111" s="141"/>
      <c r="L111" s="141"/>
      <c r="M111" s="142"/>
      <c r="N111" s="141"/>
      <c r="O111" s="141"/>
      <c r="P111" s="141"/>
      <c r="Q111" s="70">
        <v>2831818.18</v>
      </c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  <c r="AB111" s="6">
        <f t="shared" si="9"/>
        <v>2831818.18</v>
      </c>
      <c r="AC111" s="6">
        <f t="shared" si="10"/>
        <v>0</v>
      </c>
      <c r="AD111" s="141" t="s">
        <v>743</v>
      </c>
    </row>
    <row r="112" spans="1:30">
      <c r="A112" s="141" t="s">
        <v>268</v>
      </c>
      <c r="B112" s="141" t="s">
        <v>273</v>
      </c>
      <c r="C112" s="141" t="s">
        <v>274</v>
      </c>
      <c r="D112" s="141">
        <v>404536.36363600002</v>
      </c>
      <c r="E112" s="141">
        <v>4449900</v>
      </c>
      <c r="F112" s="141">
        <v>4045363.6363639999</v>
      </c>
      <c r="G112" s="141" t="s">
        <v>8</v>
      </c>
      <c r="H112" s="145">
        <f t="shared" si="11"/>
        <v>4045363.6363639999</v>
      </c>
      <c r="I112" s="142"/>
      <c r="J112" s="141"/>
      <c r="K112" s="141"/>
      <c r="L112" s="141"/>
      <c r="M112" s="70">
        <v>4045363.6363639999</v>
      </c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  <c r="AB112" s="6">
        <f t="shared" si="9"/>
        <v>4045363.6363639999</v>
      </c>
      <c r="AC112" s="6">
        <f t="shared" si="10"/>
        <v>0</v>
      </c>
      <c r="AD112" s="141" t="s">
        <v>743</v>
      </c>
    </row>
    <row r="113" spans="1:30" ht="69">
      <c r="A113" s="141" t="s">
        <v>263</v>
      </c>
      <c r="B113" s="146" t="s">
        <v>910</v>
      </c>
      <c r="C113" s="146" t="s">
        <v>911</v>
      </c>
      <c r="D113" s="146" t="s">
        <v>912</v>
      </c>
      <c r="E113" s="84"/>
      <c r="F113" s="146">
        <v>1</v>
      </c>
      <c r="G113" s="146" t="s">
        <v>515</v>
      </c>
      <c r="H113" s="147">
        <v>12000</v>
      </c>
      <c r="I113" s="141"/>
      <c r="J113" s="141"/>
      <c r="K113" s="143"/>
      <c r="L113" s="141"/>
      <c r="M113" s="143">
        <v>12000</v>
      </c>
      <c r="N113" s="141"/>
      <c r="O113" s="141"/>
      <c r="P113" s="143"/>
      <c r="Q113" s="143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  <c r="AB113" s="6">
        <f t="shared" si="9"/>
        <v>12000</v>
      </c>
      <c r="AC113" s="6">
        <f t="shared" si="10"/>
        <v>0</v>
      </c>
      <c r="AD113" s="141" t="s">
        <v>743</v>
      </c>
    </row>
    <row r="114" spans="1:30" ht="69">
      <c r="A114" s="141" t="s">
        <v>263</v>
      </c>
      <c r="B114" s="146" t="s">
        <v>924</v>
      </c>
      <c r="C114" s="146" t="s">
        <v>925</v>
      </c>
      <c r="D114" s="146" t="s">
        <v>926</v>
      </c>
      <c r="E114" s="84"/>
      <c r="F114" s="146">
        <v>1</v>
      </c>
      <c r="G114" s="146" t="s">
        <v>515</v>
      </c>
      <c r="H114" s="147">
        <v>80000</v>
      </c>
      <c r="I114" s="141"/>
      <c r="J114" s="141"/>
      <c r="K114" s="143"/>
      <c r="L114" s="141"/>
      <c r="M114" s="143"/>
      <c r="N114" s="141"/>
      <c r="O114" s="141">
        <v>80000</v>
      </c>
      <c r="P114" s="143"/>
      <c r="Q114" s="143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6">
        <f t="shared" si="9"/>
        <v>80000</v>
      </c>
      <c r="AC114" s="6">
        <f t="shared" si="10"/>
        <v>0</v>
      </c>
      <c r="AD114" s="141" t="s">
        <v>743</v>
      </c>
    </row>
    <row r="115" spans="1:30">
      <c r="A115" s="141" t="s">
        <v>263</v>
      </c>
      <c r="B115" s="141" t="s">
        <v>156</v>
      </c>
      <c r="C115" s="141" t="s">
        <v>157</v>
      </c>
      <c r="D115" s="141">
        <v>5454.55</v>
      </c>
      <c r="E115" s="141">
        <v>60000</v>
      </c>
      <c r="F115" s="141">
        <v>54545.45</v>
      </c>
      <c r="G115" s="141" t="s">
        <v>8</v>
      </c>
      <c r="H115" s="145">
        <f>+E115-D115</f>
        <v>54545.45</v>
      </c>
      <c r="I115" s="141"/>
      <c r="J115" s="141"/>
      <c r="K115" s="141"/>
      <c r="L115" s="141"/>
      <c r="M115" s="141"/>
      <c r="N115" s="142"/>
      <c r="O115" s="141"/>
      <c r="P115" s="142">
        <f>+H115</f>
        <v>54545.45</v>
      </c>
      <c r="Q115" s="141"/>
      <c r="R115" s="143"/>
      <c r="S115" s="141"/>
      <c r="T115" s="144"/>
      <c r="U115" s="141"/>
      <c r="V115" s="143"/>
      <c r="W115" s="143"/>
      <c r="X115" s="143"/>
      <c r="Y115" s="143"/>
      <c r="Z115" s="143"/>
      <c r="AA115" s="141"/>
      <c r="AB115" s="6">
        <f t="shared" si="9"/>
        <v>54545.45</v>
      </c>
      <c r="AC115" s="6">
        <f t="shared" si="10"/>
        <v>0</v>
      </c>
      <c r="AD115" s="141"/>
    </row>
    <row r="116" spans="1:30">
      <c r="A116" s="141" t="s">
        <v>263</v>
      </c>
      <c r="B116" s="141" t="s">
        <v>264</v>
      </c>
      <c r="C116" s="141" t="s">
        <v>265</v>
      </c>
      <c r="D116" s="141">
        <v>16284.090909</v>
      </c>
      <c r="E116" s="141">
        <v>179125</v>
      </c>
      <c r="F116" s="141">
        <v>162840.90909100001</v>
      </c>
      <c r="G116" s="141" t="s">
        <v>8</v>
      </c>
      <c r="H116" s="145">
        <f>+E116-D116</f>
        <v>162840.90909100001</v>
      </c>
      <c r="I116" s="70">
        <v>162840.90909100001</v>
      </c>
      <c r="J116" s="141"/>
      <c r="K116" s="141"/>
      <c r="L116" s="141"/>
      <c r="M116" s="141"/>
      <c r="N116" s="141"/>
      <c r="O116" s="141"/>
      <c r="P116" s="70">
        <f>+I116</f>
        <v>162840.90909100001</v>
      </c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6">
        <f t="shared" si="9"/>
        <v>325681.81818200002</v>
      </c>
      <c r="AC116" s="6">
        <f t="shared" si="10"/>
        <v>162840.90909100001</v>
      </c>
      <c r="AD116" s="141" t="s">
        <v>743</v>
      </c>
    </row>
    <row r="117" spans="1:30">
      <c r="A117" s="141" t="s">
        <v>263</v>
      </c>
      <c r="B117" s="141" t="s">
        <v>266</v>
      </c>
      <c r="C117" s="141" t="s">
        <v>267</v>
      </c>
      <c r="D117" s="141">
        <v>84500</v>
      </c>
      <c r="E117" s="141">
        <v>929500</v>
      </c>
      <c r="F117" s="141">
        <v>845000</v>
      </c>
      <c r="G117" s="141" t="s">
        <v>8</v>
      </c>
      <c r="H117" s="145">
        <f>+E117-D117</f>
        <v>845000</v>
      </c>
      <c r="I117" s="141"/>
      <c r="J117" s="142"/>
      <c r="K117" s="141"/>
      <c r="L117" s="141"/>
      <c r="M117" s="141"/>
      <c r="N117" s="141"/>
      <c r="O117" s="142">
        <f>+H117</f>
        <v>845000</v>
      </c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  <c r="AB117" s="6">
        <f t="shared" si="9"/>
        <v>845000</v>
      </c>
      <c r="AC117" s="6">
        <f t="shared" si="10"/>
        <v>0</v>
      </c>
      <c r="AD117" s="141" t="s">
        <v>743</v>
      </c>
    </row>
    <row r="118" spans="1:30" ht="57.5">
      <c r="A118" s="141" t="s">
        <v>1164</v>
      </c>
      <c r="B118" s="146" t="s">
        <v>916</v>
      </c>
      <c r="C118" s="146" t="s">
        <v>917</v>
      </c>
      <c r="D118" s="146" t="s">
        <v>918</v>
      </c>
      <c r="E118" s="84"/>
      <c r="F118" s="146">
        <v>1</v>
      </c>
      <c r="G118" s="146" t="s">
        <v>515</v>
      </c>
      <c r="H118" s="147">
        <v>30000</v>
      </c>
      <c r="I118" s="141"/>
      <c r="J118" s="141"/>
      <c r="K118" s="143"/>
      <c r="L118" s="141"/>
      <c r="M118" s="143">
        <v>30000</v>
      </c>
      <c r="N118" s="141"/>
      <c r="O118" s="141"/>
      <c r="P118" s="143"/>
      <c r="Q118" s="143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  <c r="AB118" s="6">
        <f t="shared" si="9"/>
        <v>30000</v>
      </c>
      <c r="AC118" s="6">
        <f t="shared" si="10"/>
        <v>0</v>
      </c>
      <c r="AD118" s="141" t="s">
        <v>743</v>
      </c>
    </row>
    <row r="119" spans="1:30" ht="57.5">
      <c r="A119" s="141" t="s">
        <v>1165</v>
      </c>
      <c r="B119" s="146" t="s">
        <v>976</v>
      </c>
      <c r="C119" s="146" t="s">
        <v>977</v>
      </c>
      <c r="D119" s="146" t="s">
        <v>978</v>
      </c>
      <c r="E119" s="84"/>
      <c r="F119" s="146">
        <v>1</v>
      </c>
      <c r="G119" s="146" t="s">
        <v>515</v>
      </c>
      <c r="H119" s="147">
        <v>2000000</v>
      </c>
      <c r="I119" s="141"/>
      <c r="J119" s="141"/>
      <c r="K119" s="143"/>
      <c r="L119" s="141"/>
      <c r="M119" s="143"/>
      <c r="N119" s="141"/>
      <c r="O119" s="141">
        <v>2000000</v>
      </c>
      <c r="P119" s="143"/>
      <c r="Q119" s="143"/>
      <c r="R119" s="143"/>
      <c r="S119" s="141"/>
      <c r="T119" s="144"/>
      <c r="U119" s="141"/>
      <c r="V119" s="143"/>
      <c r="W119" s="143"/>
      <c r="X119" s="143"/>
      <c r="Y119" s="143"/>
      <c r="Z119" s="143"/>
      <c r="AA119" s="141"/>
      <c r="AB119" s="6">
        <f t="shared" si="9"/>
        <v>2000000</v>
      </c>
      <c r="AC119" s="6">
        <f t="shared" si="10"/>
        <v>0</v>
      </c>
      <c r="AD119" s="141"/>
    </row>
    <row r="120" spans="1:30" ht="57.5">
      <c r="A120" s="141" t="s">
        <v>1165</v>
      </c>
      <c r="B120" s="146" t="s">
        <v>976</v>
      </c>
      <c r="C120" s="146" t="s">
        <v>977</v>
      </c>
      <c r="D120" s="146" t="s">
        <v>978</v>
      </c>
      <c r="E120" s="84"/>
      <c r="F120" s="146">
        <v>1</v>
      </c>
      <c r="G120" s="146" t="s">
        <v>515</v>
      </c>
      <c r="H120" s="147">
        <v>4232000</v>
      </c>
      <c r="I120" s="141"/>
      <c r="J120" s="141"/>
      <c r="K120" s="143"/>
      <c r="L120" s="141"/>
      <c r="M120" s="143"/>
      <c r="N120" s="141"/>
      <c r="O120" s="141">
        <v>4232000</v>
      </c>
      <c r="P120" s="143"/>
      <c r="Q120" s="143"/>
      <c r="R120" s="143"/>
      <c r="S120" s="141"/>
      <c r="T120" s="144"/>
      <c r="U120" s="143"/>
      <c r="V120" s="143"/>
      <c r="W120" s="143"/>
      <c r="X120" s="143"/>
      <c r="Y120" s="143"/>
      <c r="Z120" s="143"/>
      <c r="AA120" s="141"/>
      <c r="AB120" s="6">
        <f t="shared" si="9"/>
        <v>4232000</v>
      </c>
      <c r="AC120" s="6">
        <f t="shared" si="10"/>
        <v>0</v>
      </c>
      <c r="AD120" s="141"/>
    </row>
    <row r="121" spans="1:30">
      <c r="A121" s="141" t="s">
        <v>260</v>
      </c>
      <c r="B121" s="141" t="s">
        <v>116</v>
      </c>
      <c r="C121" s="141" t="s">
        <v>117</v>
      </c>
      <c r="D121" s="141">
        <v>0</v>
      </c>
      <c r="E121" s="141">
        <v>49500</v>
      </c>
      <c r="F121" s="141">
        <v>49500</v>
      </c>
      <c r="G121" s="141" t="s">
        <v>55</v>
      </c>
      <c r="H121" s="145">
        <v>49500</v>
      </c>
      <c r="I121" s="141"/>
      <c r="J121" s="141"/>
      <c r="K121" s="141"/>
      <c r="L121" s="141"/>
      <c r="M121" s="70">
        <v>49500</v>
      </c>
      <c r="N121" s="141"/>
      <c r="O121" s="141"/>
      <c r="P121" s="141"/>
      <c r="Q121" s="141"/>
      <c r="R121" s="143"/>
      <c r="S121" s="141"/>
      <c r="T121" s="144"/>
      <c r="U121" s="143"/>
      <c r="V121" s="143"/>
      <c r="W121" s="143"/>
      <c r="X121" s="143"/>
      <c r="Y121" s="143"/>
      <c r="Z121" s="143"/>
      <c r="AA121" s="141"/>
      <c r="AB121" s="6">
        <f t="shared" si="9"/>
        <v>49500</v>
      </c>
      <c r="AC121" s="6">
        <f t="shared" si="10"/>
        <v>0</v>
      </c>
      <c r="AD121" s="141"/>
    </row>
    <row r="122" spans="1:30">
      <c r="A122" s="141" t="s">
        <v>260</v>
      </c>
      <c r="B122" s="141" t="s">
        <v>116</v>
      </c>
      <c r="C122" s="141" t="s">
        <v>117</v>
      </c>
      <c r="D122" s="141">
        <v>0</v>
      </c>
      <c r="E122" s="141">
        <v>49500</v>
      </c>
      <c r="F122" s="141">
        <v>49500</v>
      </c>
      <c r="G122" s="141" t="s">
        <v>55</v>
      </c>
      <c r="H122" s="145">
        <v>49500</v>
      </c>
      <c r="I122" s="141"/>
      <c r="J122" s="141"/>
      <c r="K122" s="141"/>
      <c r="L122" s="141"/>
      <c r="M122" s="70">
        <v>49500</v>
      </c>
      <c r="N122" s="141"/>
      <c r="O122" s="141"/>
      <c r="P122" s="141"/>
      <c r="Q122" s="70"/>
      <c r="R122" s="143"/>
      <c r="S122" s="141"/>
      <c r="T122" s="144"/>
      <c r="U122" s="141"/>
      <c r="V122" s="143"/>
      <c r="W122" s="143"/>
      <c r="X122" s="143"/>
      <c r="Y122" s="143"/>
      <c r="Z122" s="143"/>
      <c r="AA122" s="141"/>
      <c r="AB122" s="6">
        <f t="shared" si="9"/>
        <v>49500</v>
      </c>
      <c r="AC122" s="6">
        <f t="shared" si="10"/>
        <v>0</v>
      </c>
      <c r="AD122" s="141"/>
    </row>
    <row r="123" spans="1:30">
      <c r="A123" s="141" t="s">
        <v>260</v>
      </c>
      <c r="B123" s="141" t="s">
        <v>261</v>
      </c>
      <c r="C123" s="141" t="s">
        <v>262</v>
      </c>
      <c r="D123" s="141">
        <v>23545.454545000001</v>
      </c>
      <c r="E123" s="141">
        <v>259000</v>
      </c>
      <c r="F123" s="141">
        <v>235454.54545500001</v>
      </c>
      <c r="G123" s="141" t="s">
        <v>8</v>
      </c>
      <c r="H123" s="145">
        <v>259000</v>
      </c>
      <c r="I123" s="70"/>
      <c r="J123" s="141"/>
      <c r="K123" s="141"/>
      <c r="L123" s="141"/>
      <c r="M123" s="141"/>
      <c r="N123" s="141"/>
      <c r="O123" s="141">
        <v>259000</v>
      </c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  <c r="AB123" s="6">
        <f t="shared" si="9"/>
        <v>259000</v>
      </c>
      <c r="AC123" s="6">
        <f t="shared" si="10"/>
        <v>0</v>
      </c>
      <c r="AD123" s="141" t="s">
        <v>743</v>
      </c>
    </row>
    <row r="124" spans="1:30" ht="69">
      <c r="A124" s="141" t="s">
        <v>255</v>
      </c>
      <c r="B124" s="146" t="s">
        <v>927</v>
      </c>
      <c r="C124" s="146" t="s">
        <v>928</v>
      </c>
      <c r="D124" s="146" t="s">
        <v>929</v>
      </c>
      <c r="E124" s="146">
        <v>1</v>
      </c>
      <c r="F124" s="84"/>
      <c r="G124" s="146" t="s">
        <v>515</v>
      </c>
      <c r="H124" s="147">
        <v>90800</v>
      </c>
      <c r="I124" s="141"/>
      <c r="J124" s="141"/>
      <c r="K124" s="143"/>
      <c r="L124" s="141"/>
      <c r="M124" s="143"/>
      <c r="N124" s="141"/>
      <c r="O124" s="141"/>
      <c r="P124" s="143">
        <v>90800</v>
      </c>
      <c r="Q124" s="143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  <c r="AB124" s="6">
        <f t="shared" si="9"/>
        <v>90800</v>
      </c>
      <c r="AC124" s="6">
        <f t="shared" si="10"/>
        <v>0</v>
      </c>
      <c r="AD124" s="141" t="s">
        <v>743</v>
      </c>
    </row>
    <row r="125" spans="1:30" ht="69">
      <c r="A125" s="141" t="s">
        <v>255</v>
      </c>
      <c r="B125" s="146" t="s">
        <v>967</v>
      </c>
      <c r="C125" s="146" t="s">
        <v>968</v>
      </c>
      <c r="D125" s="146" t="s">
        <v>969</v>
      </c>
      <c r="E125" s="84"/>
      <c r="F125" s="146">
        <v>1</v>
      </c>
      <c r="G125" s="146" t="s">
        <v>515</v>
      </c>
      <c r="H125" s="147">
        <v>1500000</v>
      </c>
      <c r="I125" s="141"/>
      <c r="J125" s="141"/>
      <c r="K125" s="143"/>
      <c r="L125" s="141"/>
      <c r="M125" s="143"/>
      <c r="N125" s="141">
        <v>1500000</v>
      </c>
      <c r="O125" s="141"/>
      <c r="P125" s="143"/>
      <c r="Q125" s="143"/>
      <c r="R125" s="143"/>
      <c r="S125" s="141"/>
      <c r="T125" s="144"/>
      <c r="U125" s="143"/>
      <c r="V125" s="143"/>
      <c r="W125" s="143"/>
      <c r="X125" s="151">
        <f>+H125</f>
        <v>1500000</v>
      </c>
      <c r="Y125" s="143"/>
      <c r="Z125" s="143"/>
      <c r="AA125" s="141"/>
      <c r="AB125" s="6">
        <f t="shared" si="9"/>
        <v>3000000</v>
      </c>
      <c r="AC125" s="6">
        <f t="shared" si="10"/>
        <v>1500000</v>
      </c>
      <c r="AD125" s="141"/>
    </row>
    <row r="126" spans="1:30">
      <c r="A126" s="141" t="s">
        <v>255</v>
      </c>
      <c r="B126" s="141" t="s">
        <v>258</v>
      </c>
      <c r="C126" s="141" t="s">
        <v>259</v>
      </c>
      <c r="D126" s="141">
        <v>1000</v>
      </c>
      <c r="E126" s="141">
        <v>11000</v>
      </c>
      <c r="F126" s="141">
        <v>10000</v>
      </c>
      <c r="G126" s="141" t="s">
        <v>8</v>
      </c>
      <c r="H126" s="145">
        <v>11000</v>
      </c>
      <c r="I126" s="141"/>
      <c r="J126" s="70"/>
      <c r="K126" s="141"/>
      <c r="L126" s="141"/>
      <c r="M126" s="141"/>
      <c r="N126" s="141"/>
      <c r="O126" s="141">
        <v>11000</v>
      </c>
      <c r="P126" s="141"/>
      <c r="Q126" s="141"/>
      <c r="R126" s="143"/>
      <c r="S126" s="141"/>
      <c r="T126" s="144"/>
      <c r="U126" s="141"/>
      <c r="V126" s="143"/>
      <c r="W126" s="143"/>
      <c r="X126" s="143"/>
      <c r="Y126" s="143"/>
      <c r="Z126" s="143"/>
      <c r="AA126" s="141"/>
      <c r="AB126" s="6">
        <f t="shared" si="9"/>
        <v>11000</v>
      </c>
      <c r="AC126" s="6">
        <f t="shared" si="10"/>
        <v>0</v>
      </c>
      <c r="AD126" s="141"/>
    </row>
    <row r="127" spans="1:30">
      <c r="A127" s="141" t="s">
        <v>255</v>
      </c>
      <c r="B127" s="141" t="s">
        <v>103</v>
      </c>
      <c r="C127" s="141" t="s">
        <v>104</v>
      </c>
      <c r="D127" s="141">
        <v>4819.97</v>
      </c>
      <c r="E127" s="141">
        <v>53100</v>
      </c>
      <c r="F127" s="141">
        <v>48280.03</v>
      </c>
      <c r="G127" s="141" t="s">
        <v>8</v>
      </c>
      <c r="H127" s="145">
        <f>+E127-D127</f>
        <v>48280.03</v>
      </c>
      <c r="I127" s="141"/>
      <c r="J127" s="141"/>
      <c r="K127" s="142">
        <f>+H127</f>
        <v>48280.03</v>
      </c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  <c r="AB127" s="6">
        <f t="shared" si="9"/>
        <v>48280.03</v>
      </c>
      <c r="AC127" s="6">
        <f t="shared" si="10"/>
        <v>0</v>
      </c>
      <c r="AD127" s="141" t="s">
        <v>743</v>
      </c>
    </row>
    <row r="128" spans="1:30">
      <c r="A128" s="141" t="s">
        <v>255</v>
      </c>
      <c r="B128" s="141" t="s">
        <v>256</v>
      </c>
      <c r="C128" s="141" t="s">
        <v>257</v>
      </c>
      <c r="D128" s="141">
        <v>0</v>
      </c>
      <c r="E128" s="141">
        <v>4960000</v>
      </c>
      <c r="F128" s="141">
        <v>4960000</v>
      </c>
      <c r="G128" s="141" t="s">
        <v>8</v>
      </c>
      <c r="H128" s="145">
        <v>4960000</v>
      </c>
      <c r="I128" s="141"/>
      <c r="J128" s="70"/>
      <c r="K128" s="141"/>
      <c r="L128" s="141"/>
      <c r="M128" s="141"/>
      <c r="N128" s="70">
        <v>4960000</v>
      </c>
      <c r="O128" s="141"/>
      <c r="P128" s="141"/>
      <c r="Q128" s="141"/>
      <c r="R128" s="143"/>
      <c r="S128" s="141"/>
      <c r="T128" s="144"/>
      <c r="U128" s="143"/>
      <c r="V128" s="143"/>
      <c r="W128" s="143"/>
      <c r="X128" s="143"/>
      <c r="Y128" s="143"/>
      <c r="Z128" s="143"/>
      <c r="AA128" s="141"/>
      <c r="AB128" s="6">
        <f t="shared" si="9"/>
        <v>4960000</v>
      </c>
      <c r="AC128" s="6">
        <f t="shared" si="10"/>
        <v>0</v>
      </c>
      <c r="AD128" s="141"/>
    </row>
    <row r="129" spans="1:30" ht="57.5">
      <c r="A129" s="141" t="s">
        <v>240</v>
      </c>
      <c r="B129" s="146" t="s">
        <v>932</v>
      </c>
      <c r="C129" s="146" t="s">
        <v>930</v>
      </c>
      <c r="D129" s="146" t="s">
        <v>931</v>
      </c>
      <c r="E129" s="84"/>
      <c r="F129" s="146">
        <v>1</v>
      </c>
      <c r="G129" s="146" t="s">
        <v>515</v>
      </c>
      <c r="H129" s="147">
        <v>100000</v>
      </c>
      <c r="I129" s="141">
        <v>100000</v>
      </c>
      <c r="J129" s="141"/>
      <c r="K129" s="143"/>
      <c r="L129" s="141"/>
      <c r="M129" s="143"/>
      <c r="N129" s="141"/>
      <c r="O129" s="141"/>
      <c r="P129" s="143"/>
      <c r="Q129" s="143"/>
      <c r="R129" s="143"/>
      <c r="S129" s="141"/>
      <c r="T129" s="144"/>
      <c r="U129" s="143"/>
      <c r="V129" s="143"/>
      <c r="W129" s="143"/>
      <c r="X129" s="143"/>
      <c r="Y129" s="143"/>
      <c r="Z129" s="143"/>
      <c r="AA129" s="141"/>
      <c r="AB129" s="6">
        <f t="shared" si="9"/>
        <v>100000</v>
      </c>
      <c r="AC129" s="6">
        <f t="shared" si="10"/>
        <v>0</v>
      </c>
      <c r="AD129" s="141"/>
    </row>
    <row r="130" spans="1:30" ht="69">
      <c r="A130" s="141" t="s">
        <v>240</v>
      </c>
      <c r="B130" s="146" t="s">
        <v>939</v>
      </c>
      <c r="C130" s="146" t="s">
        <v>940</v>
      </c>
      <c r="D130" s="146" t="s">
        <v>941</v>
      </c>
      <c r="E130" s="84"/>
      <c r="F130" s="146">
        <v>1</v>
      </c>
      <c r="G130" s="146" t="s">
        <v>515</v>
      </c>
      <c r="H130" s="147">
        <v>144700</v>
      </c>
      <c r="I130" s="141"/>
      <c r="J130" s="141"/>
      <c r="K130" s="143">
        <v>144700</v>
      </c>
      <c r="L130" s="141"/>
      <c r="M130" s="143"/>
      <c r="N130" s="141"/>
      <c r="O130" s="141"/>
      <c r="P130" s="143"/>
      <c r="Q130" s="143"/>
      <c r="R130" s="143"/>
      <c r="S130" s="141"/>
      <c r="T130" s="144"/>
      <c r="U130" s="141"/>
      <c r="V130" s="143"/>
      <c r="W130" s="143"/>
      <c r="X130" s="143"/>
      <c r="Y130" s="143"/>
      <c r="Z130" s="143"/>
      <c r="AA130" s="141"/>
      <c r="AB130" s="6">
        <f t="shared" si="9"/>
        <v>144700</v>
      </c>
      <c r="AC130" s="6">
        <f t="shared" si="10"/>
        <v>0</v>
      </c>
      <c r="AD130" s="141"/>
    </row>
    <row r="131" spans="1:30" ht="57.5">
      <c r="A131" s="141" t="s">
        <v>240</v>
      </c>
      <c r="B131" s="146" t="s">
        <v>963</v>
      </c>
      <c r="C131" s="146" t="s">
        <v>930</v>
      </c>
      <c r="D131" s="146" t="s">
        <v>931</v>
      </c>
      <c r="E131" s="84"/>
      <c r="F131" s="146">
        <v>1</v>
      </c>
      <c r="G131" s="146" t="s">
        <v>515</v>
      </c>
      <c r="H131" s="147">
        <v>600000</v>
      </c>
      <c r="I131" s="141"/>
      <c r="J131" s="141"/>
      <c r="K131" s="143"/>
      <c r="L131" s="141"/>
      <c r="M131" s="143"/>
      <c r="N131" s="141"/>
      <c r="O131" s="141"/>
      <c r="P131" s="143"/>
      <c r="Q131" s="143"/>
      <c r="R131" s="143"/>
      <c r="S131" s="141"/>
      <c r="T131" s="144"/>
      <c r="U131" s="141"/>
      <c r="V131" s="143"/>
      <c r="W131" s="143"/>
      <c r="X131" s="143"/>
      <c r="Y131" s="143"/>
      <c r="Z131" s="143"/>
      <c r="AA131" s="141"/>
      <c r="AB131" s="6">
        <f t="shared" si="9"/>
        <v>0</v>
      </c>
      <c r="AC131" s="6">
        <f t="shared" si="10"/>
        <v>-600000</v>
      </c>
      <c r="AD131" s="141"/>
    </row>
    <row r="132" spans="1:30">
      <c r="A132" s="141" t="s">
        <v>240</v>
      </c>
      <c r="B132" s="141" t="s">
        <v>53</v>
      </c>
      <c r="C132" s="141" t="s">
        <v>54</v>
      </c>
      <c r="D132" s="141">
        <v>0</v>
      </c>
      <c r="E132" s="141">
        <v>1000</v>
      </c>
      <c r="F132" s="141">
        <v>1000</v>
      </c>
      <c r="G132" s="141" t="s">
        <v>55</v>
      </c>
      <c r="H132" s="145">
        <v>1000</v>
      </c>
      <c r="I132" s="70">
        <v>1000</v>
      </c>
      <c r="J132" s="141"/>
      <c r="K132" s="70"/>
      <c r="L132" s="141"/>
      <c r="M132" s="141"/>
      <c r="N132" s="141"/>
      <c r="O132" s="70"/>
      <c r="P132" s="141"/>
      <c r="Q132" s="141"/>
      <c r="R132" s="143"/>
      <c r="S132" s="141"/>
      <c r="T132" s="144"/>
      <c r="U132" s="141"/>
      <c r="V132" s="143"/>
      <c r="W132" s="143"/>
      <c r="X132" s="143"/>
      <c r="Y132" s="143"/>
      <c r="Z132" s="143"/>
      <c r="AA132" s="141"/>
      <c r="AB132" s="6">
        <f t="shared" si="9"/>
        <v>1000</v>
      </c>
      <c r="AC132" s="6">
        <f t="shared" si="10"/>
        <v>0</v>
      </c>
      <c r="AD132" s="141"/>
    </row>
    <row r="133" spans="1:30">
      <c r="A133" s="141" t="s">
        <v>240</v>
      </c>
      <c r="B133" s="141" t="s">
        <v>253</v>
      </c>
      <c r="C133" s="141" t="s">
        <v>254</v>
      </c>
      <c r="D133" s="141">
        <v>0</v>
      </c>
      <c r="E133" s="141">
        <v>1000</v>
      </c>
      <c r="F133" s="141">
        <v>1000</v>
      </c>
      <c r="G133" s="141" t="s">
        <v>8</v>
      </c>
      <c r="H133" s="145">
        <v>1000</v>
      </c>
      <c r="I133" s="70">
        <v>1000</v>
      </c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  <c r="AB133" s="6">
        <f t="shared" ref="AB133:AB144" si="12">SUM(I133:AA133)</f>
        <v>1000</v>
      </c>
      <c r="AC133" s="6">
        <f t="shared" ref="AC133:AC144" si="13">+AB133-H133</f>
        <v>0</v>
      </c>
      <c r="AD133" s="141" t="s">
        <v>743</v>
      </c>
    </row>
    <row r="134" spans="1:30">
      <c r="A134" s="141" t="s">
        <v>240</v>
      </c>
      <c r="B134" s="141" t="s">
        <v>56</v>
      </c>
      <c r="C134" s="141" t="s">
        <v>57</v>
      </c>
      <c r="D134" s="141">
        <v>0</v>
      </c>
      <c r="E134" s="141">
        <v>2000</v>
      </c>
      <c r="F134" s="141">
        <v>2000</v>
      </c>
      <c r="G134" s="141" t="s">
        <v>55</v>
      </c>
      <c r="H134" s="145">
        <v>2000</v>
      </c>
      <c r="I134" s="70">
        <v>2000</v>
      </c>
      <c r="J134" s="70"/>
      <c r="K134" s="142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  <c r="AB134" s="6">
        <f t="shared" si="12"/>
        <v>2000</v>
      </c>
      <c r="AC134" s="6">
        <f t="shared" si="13"/>
        <v>0</v>
      </c>
      <c r="AD134" s="141" t="s">
        <v>743</v>
      </c>
    </row>
    <row r="135" spans="1:30">
      <c r="A135" s="141" t="s">
        <v>240</v>
      </c>
      <c r="B135" s="141" t="s">
        <v>78</v>
      </c>
      <c r="C135" s="141" t="s">
        <v>79</v>
      </c>
      <c r="D135" s="141">
        <v>1418.18</v>
      </c>
      <c r="E135" s="141">
        <v>15600</v>
      </c>
      <c r="F135" s="141">
        <v>14181.82</v>
      </c>
      <c r="G135" s="141" t="s">
        <v>8</v>
      </c>
      <c r="H135" s="145">
        <f>+E135-D135</f>
        <v>14181.82</v>
      </c>
      <c r="I135" s="142"/>
      <c r="J135" s="141"/>
      <c r="K135" s="70">
        <v>14181.82</v>
      </c>
      <c r="L135" s="141"/>
      <c r="M135" s="70"/>
      <c r="N135" s="141"/>
      <c r="O135" s="141"/>
      <c r="P135" s="141"/>
      <c r="Q135" s="141"/>
      <c r="R135" s="143"/>
      <c r="S135" s="141"/>
      <c r="T135" s="144"/>
      <c r="U135" s="141"/>
      <c r="V135" s="143"/>
      <c r="W135" s="143"/>
      <c r="X135" s="143"/>
      <c r="Y135" s="143"/>
      <c r="Z135" s="143"/>
      <c r="AA135" s="141"/>
      <c r="AB135" s="6">
        <f t="shared" si="12"/>
        <v>14181.82</v>
      </c>
      <c r="AC135" s="6">
        <f t="shared" si="13"/>
        <v>0</v>
      </c>
      <c r="AD135" s="141"/>
    </row>
    <row r="136" spans="1:30">
      <c r="A136" s="141" t="s">
        <v>240</v>
      </c>
      <c r="B136" s="141" t="s">
        <v>251</v>
      </c>
      <c r="C136" s="141" t="s">
        <v>252</v>
      </c>
      <c r="D136" s="141">
        <v>1700</v>
      </c>
      <c r="E136" s="141">
        <v>18700</v>
      </c>
      <c r="F136" s="141">
        <v>17000</v>
      </c>
      <c r="G136" s="141" t="s">
        <v>8</v>
      </c>
      <c r="H136" s="145">
        <v>18700</v>
      </c>
      <c r="I136" s="142"/>
      <c r="J136" s="141"/>
      <c r="K136" s="141"/>
      <c r="L136" s="141"/>
      <c r="M136" s="141"/>
      <c r="N136" s="141">
        <v>18700</v>
      </c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  <c r="AB136" s="6">
        <f t="shared" si="12"/>
        <v>18700</v>
      </c>
      <c r="AC136" s="6">
        <f t="shared" si="13"/>
        <v>0</v>
      </c>
      <c r="AD136" s="141" t="s">
        <v>743</v>
      </c>
    </row>
    <row r="137" spans="1:30">
      <c r="A137" s="141" t="s">
        <v>240</v>
      </c>
      <c r="B137" s="141" t="s">
        <v>243</v>
      </c>
      <c r="C137" s="141" t="s">
        <v>244</v>
      </c>
      <c r="D137" s="141">
        <v>2000</v>
      </c>
      <c r="E137" s="141">
        <v>22000</v>
      </c>
      <c r="F137" s="141">
        <v>20000</v>
      </c>
      <c r="G137" s="141" t="s">
        <v>8</v>
      </c>
      <c r="H137" s="145">
        <f>+E137-D137</f>
        <v>20000</v>
      </c>
      <c r="I137" s="141"/>
      <c r="J137" s="141"/>
      <c r="K137" s="141"/>
      <c r="L137" s="70">
        <v>20000</v>
      </c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6">
        <f t="shared" si="12"/>
        <v>20000</v>
      </c>
      <c r="AC137" s="6">
        <f t="shared" si="13"/>
        <v>0</v>
      </c>
      <c r="AD137" s="141" t="s">
        <v>743</v>
      </c>
    </row>
    <row r="138" spans="1:30">
      <c r="A138" s="141" t="s">
        <v>240</v>
      </c>
      <c r="B138" s="141" t="s">
        <v>249</v>
      </c>
      <c r="C138" s="141" t="s">
        <v>250</v>
      </c>
      <c r="D138" s="141">
        <v>2000</v>
      </c>
      <c r="E138" s="141">
        <v>22000</v>
      </c>
      <c r="F138" s="141">
        <v>20000</v>
      </c>
      <c r="G138" s="141" t="s">
        <v>8</v>
      </c>
      <c r="H138" s="145">
        <f>+E138-D138</f>
        <v>20000</v>
      </c>
      <c r="I138" s="142"/>
      <c r="J138" s="141"/>
      <c r="K138" s="141"/>
      <c r="L138" s="141"/>
      <c r="M138" s="141"/>
      <c r="N138" s="141"/>
      <c r="O138" s="70">
        <v>20000</v>
      </c>
      <c r="P138" s="141"/>
      <c r="Q138" s="141"/>
      <c r="R138" s="143"/>
      <c r="S138" s="141"/>
      <c r="T138" s="144"/>
      <c r="U138" s="141"/>
      <c r="V138" s="143"/>
      <c r="W138" s="143"/>
      <c r="X138" s="143"/>
      <c r="Y138" s="143"/>
      <c r="Z138" s="143"/>
      <c r="AA138" s="141"/>
      <c r="AB138" s="6">
        <f t="shared" si="12"/>
        <v>20000</v>
      </c>
      <c r="AC138" s="6">
        <f t="shared" si="13"/>
        <v>0</v>
      </c>
      <c r="AD138" s="141"/>
    </row>
    <row r="139" spans="1:30">
      <c r="A139" s="141" t="s">
        <v>240</v>
      </c>
      <c r="B139" s="141" t="s">
        <v>245</v>
      </c>
      <c r="C139" s="141" t="s">
        <v>246</v>
      </c>
      <c r="D139" s="141">
        <v>2272.73</v>
      </c>
      <c r="E139" s="141">
        <v>25000</v>
      </c>
      <c r="F139" s="141">
        <v>22727.27</v>
      </c>
      <c r="G139" s="141" t="s">
        <v>8</v>
      </c>
      <c r="H139" s="145">
        <f>+E139-D139</f>
        <v>22727.27</v>
      </c>
      <c r="I139" s="70">
        <v>22727.27</v>
      </c>
      <c r="J139" s="141"/>
      <c r="K139" s="141"/>
      <c r="L139" s="141"/>
      <c r="M139" s="141"/>
      <c r="N139" s="141"/>
      <c r="O139" s="141"/>
      <c r="P139" s="141"/>
      <c r="Q139" s="141"/>
      <c r="R139" s="143"/>
      <c r="S139" s="141"/>
      <c r="T139" s="144"/>
      <c r="U139" s="141"/>
      <c r="V139" s="143"/>
      <c r="W139" s="143"/>
      <c r="X139" s="143"/>
      <c r="Y139" s="143"/>
      <c r="Z139" s="143"/>
      <c r="AA139" s="141"/>
      <c r="AB139" s="6">
        <f t="shared" si="12"/>
        <v>22727.27</v>
      </c>
      <c r="AC139" s="6">
        <f t="shared" si="13"/>
        <v>0</v>
      </c>
      <c r="AD139" s="141"/>
    </row>
    <row r="140" spans="1:30">
      <c r="A140" s="141" t="s">
        <v>240</v>
      </c>
      <c r="B140" s="141" t="s">
        <v>245</v>
      </c>
      <c r="C140" s="141" t="s">
        <v>246</v>
      </c>
      <c r="D140" s="141">
        <v>2272.73</v>
      </c>
      <c r="E140" s="141">
        <v>25000</v>
      </c>
      <c r="F140" s="141">
        <v>22727.27</v>
      </c>
      <c r="G140" s="141" t="s">
        <v>8</v>
      </c>
      <c r="H140" s="145">
        <f>+E140-D140</f>
        <v>22727.27</v>
      </c>
      <c r="I140" s="70">
        <v>22727.27</v>
      </c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  <c r="AB140" s="6">
        <f t="shared" si="12"/>
        <v>22727.27</v>
      </c>
      <c r="AC140" s="6">
        <f t="shared" si="13"/>
        <v>0</v>
      </c>
      <c r="AD140" s="141" t="s">
        <v>743</v>
      </c>
    </row>
    <row r="141" spans="1:30">
      <c r="A141" s="141" t="s">
        <v>240</v>
      </c>
      <c r="B141" s="141" t="s">
        <v>247</v>
      </c>
      <c r="C141" s="141" t="s">
        <v>248</v>
      </c>
      <c r="D141" s="141">
        <v>6102.73</v>
      </c>
      <c r="E141" s="141">
        <v>67130</v>
      </c>
      <c r="F141" s="141">
        <v>61027.270000000004</v>
      </c>
      <c r="G141" s="141" t="s">
        <v>8</v>
      </c>
      <c r="H141" s="145">
        <v>67130</v>
      </c>
      <c r="I141" s="141"/>
      <c r="J141" s="141"/>
      <c r="K141" s="70">
        <v>67130</v>
      </c>
      <c r="L141" s="141"/>
      <c r="M141" s="141"/>
      <c r="N141" s="141"/>
      <c r="O141" s="141"/>
      <c r="P141" s="141"/>
      <c r="Q141" s="141"/>
      <c r="R141" s="143"/>
      <c r="S141" s="141"/>
      <c r="T141" s="144"/>
      <c r="U141" s="141"/>
      <c r="V141" s="143"/>
      <c r="W141" s="143"/>
      <c r="X141" s="143"/>
      <c r="Y141" s="143"/>
      <c r="Z141" s="143"/>
      <c r="AA141" s="141"/>
      <c r="AB141" s="6">
        <f t="shared" si="12"/>
        <v>67130</v>
      </c>
      <c r="AC141" s="6">
        <f t="shared" si="13"/>
        <v>0</v>
      </c>
      <c r="AD141" s="141"/>
    </row>
    <row r="142" spans="1:30">
      <c r="A142" s="141" t="s">
        <v>240</v>
      </c>
      <c r="B142" s="141" t="s">
        <v>243</v>
      </c>
      <c r="C142" s="141" t="s">
        <v>244</v>
      </c>
      <c r="D142" s="141">
        <v>24000</v>
      </c>
      <c r="E142" s="141">
        <v>264000</v>
      </c>
      <c r="F142" s="141">
        <v>240000</v>
      </c>
      <c r="G142" s="141" t="s">
        <v>8</v>
      </c>
      <c r="H142" s="145">
        <f>+E142-D142</f>
        <v>240000</v>
      </c>
      <c r="I142" s="141"/>
      <c r="J142" s="141"/>
      <c r="K142" s="141"/>
      <c r="L142" s="141"/>
      <c r="M142" s="141"/>
      <c r="N142" s="141"/>
      <c r="O142" s="70">
        <v>240000</v>
      </c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  <c r="AB142" s="6">
        <f t="shared" si="12"/>
        <v>240000</v>
      </c>
      <c r="AC142" s="6">
        <f t="shared" si="13"/>
        <v>0</v>
      </c>
      <c r="AD142" s="141" t="s">
        <v>743</v>
      </c>
    </row>
    <row r="143" spans="1:30">
      <c r="A143" s="141" t="s">
        <v>240</v>
      </c>
      <c r="B143" s="141" t="s">
        <v>241</v>
      </c>
      <c r="C143" s="141" t="s">
        <v>242</v>
      </c>
      <c r="D143" s="141">
        <v>30400</v>
      </c>
      <c r="E143" s="141">
        <v>334400</v>
      </c>
      <c r="F143" s="141">
        <v>304000</v>
      </c>
      <c r="G143" s="141" t="s">
        <v>8</v>
      </c>
      <c r="H143" s="145">
        <f>+E143-D143</f>
        <v>304000</v>
      </c>
      <c r="I143" s="70"/>
      <c r="J143" s="141"/>
      <c r="K143" s="141"/>
      <c r="L143" s="141"/>
      <c r="M143" s="141"/>
      <c r="N143" s="142">
        <f>+H143</f>
        <v>304000</v>
      </c>
      <c r="O143" s="141"/>
      <c r="P143" s="141"/>
      <c r="Q143" s="141"/>
      <c r="R143" s="143"/>
      <c r="S143" s="141"/>
      <c r="T143" s="144"/>
      <c r="U143" s="141"/>
      <c r="V143" s="143"/>
      <c r="W143" s="143"/>
      <c r="X143" s="143"/>
      <c r="Y143" s="143"/>
      <c r="Z143" s="143"/>
      <c r="AA143" s="141"/>
      <c r="AB143" s="6">
        <f t="shared" si="12"/>
        <v>304000</v>
      </c>
      <c r="AC143" s="6">
        <f t="shared" si="13"/>
        <v>0</v>
      </c>
      <c r="AD143" s="141"/>
    </row>
    <row r="144" spans="1:30">
      <c r="A144" s="141" t="s">
        <v>240</v>
      </c>
      <c r="B144" s="141" t="s">
        <v>156</v>
      </c>
      <c r="C144" s="141" t="s">
        <v>157</v>
      </c>
      <c r="D144" s="141">
        <v>258254.54545500001</v>
      </c>
      <c r="E144" s="141">
        <v>2840800</v>
      </c>
      <c r="F144" s="141">
        <v>2582545.4545450001</v>
      </c>
      <c r="G144" s="141" t="s">
        <v>8</v>
      </c>
      <c r="H144" s="145">
        <f>+E144-D144</f>
        <v>2582545.4545450001</v>
      </c>
      <c r="I144" s="70"/>
      <c r="J144" s="141"/>
      <c r="K144" s="141"/>
      <c r="L144" s="141"/>
      <c r="M144" s="141"/>
      <c r="N144" s="141"/>
      <c r="O144" s="141"/>
      <c r="P144" s="70">
        <v>2582545.4545450001</v>
      </c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  <c r="AB144" s="6">
        <f t="shared" si="12"/>
        <v>2582545.4545450001</v>
      </c>
      <c r="AC144" s="6">
        <f t="shared" si="13"/>
        <v>0</v>
      </c>
      <c r="AD144" s="141" t="s">
        <v>743</v>
      </c>
    </row>
  </sheetData>
  <sortState ref="A5:Q144">
    <sortCondition ref="A5:A144"/>
  </sortState>
  <phoneticPr fontId="2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E163"/>
  <sheetViews>
    <sheetView zoomScale="40" zoomScaleNormal="40" workbookViewId="0">
      <pane ySplit="1" topLeftCell="A104" activePane="bottomLeft" state="frozen"/>
      <selection activeCell="AE156" sqref="B2:AE156"/>
      <selection pane="bottomLeft" activeCell="V168" sqref="V168"/>
    </sheetView>
  </sheetViews>
  <sheetFormatPr defaultColWidth="9" defaultRowHeight="15.5"/>
  <cols>
    <col min="1" max="1" width="5.08203125" style="66" bestFit="1" customWidth="1"/>
    <col min="2" max="2" width="9.58203125" style="66" bestFit="1" customWidth="1"/>
    <col min="3" max="3" width="27.33203125" style="66" customWidth="1"/>
    <col min="4" max="4" width="14.83203125" style="66" customWidth="1"/>
    <col min="5" max="5" width="13.5" style="66" customWidth="1"/>
    <col min="6" max="6" width="11.08203125" style="66" customWidth="1"/>
    <col min="7" max="7" width="11.25" style="66" bestFit="1" customWidth="1"/>
    <col min="8" max="8" width="10" style="66" customWidth="1"/>
    <col min="9" max="9" width="11.83203125" style="133" customWidth="1"/>
    <col min="10" max="10" width="13.83203125" style="66" bestFit="1" customWidth="1"/>
    <col min="11" max="11" width="10.08203125" style="66" bestFit="1" customWidth="1"/>
    <col min="12" max="15" width="9.83203125" style="66" customWidth="1"/>
    <col min="16" max="16" width="13.5" style="66" bestFit="1" customWidth="1"/>
    <col min="17" max="17" width="12.33203125" style="66" bestFit="1" customWidth="1"/>
    <col min="18" max="24" width="9.83203125" style="66" customWidth="1"/>
    <col min="25" max="25" width="12.25" style="66" bestFit="1" customWidth="1"/>
    <col min="26" max="28" width="9.83203125" style="66" customWidth="1"/>
    <col min="29" max="29" width="18" style="66" bestFit="1" customWidth="1"/>
    <col min="30" max="30" width="17.58203125" style="66" bestFit="1" customWidth="1"/>
    <col min="31" max="16384" width="9" style="66"/>
  </cols>
  <sheetData>
    <row r="1" spans="1:31" ht="80.25" customHeight="1">
      <c r="B1" s="42" t="s">
        <v>15</v>
      </c>
      <c r="C1" s="43" t="s">
        <v>0</v>
      </c>
      <c r="D1" s="43" t="s">
        <v>1</v>
      </c>
      <c r="E1" s="44" t="s">
        <v>2</v>
      </c>
      <c r="F1" s="44" t="s">
        <v>3</v>
      </c>
      <c r="G1" s="45" t="s">
        <v>4</v>
      </c>
      <c r="H1" s="43" t="s">
        <v>16</v>
      </c>
      <c r="I1" s="45" t="s">
        <v>37</v>
      </c>
      <c r="J1" s="42" t="s">
        <v>17</v>
      </c>
      <c r="K1" s="42" t="s">
        <v>62</v>
      </c>
      <c r="L1" s="42" t="s">
        <v>18</v>
      </c>
      <c r="M1" s="45" t="s">
        <v>19</v>
      </c>
      <c r="N1" s="42" t="s">
        <v>20</v>
      </c>
      <c r="O1" s="42" t="s">
        <v>21</v>
      </c>
      <c r="P1" s="42" t="s">
        <v>22</v>
      </c>
      <c r="Q1" s="42" t="s">
        <v>23</v>
      </c>
      <c r="R1" s="43" t="s">
        <v>24</v>
      </c>
      <c r="S1" s="43" t="s">
        <v>25</v>
      </c>
      <c r="T1" s="43" t="s">
        <v>26</v>
      </c>
      <c r="U1" s="43" t="s">
        <v>27</v>
      </c>
      <c r="V1" s="43" t="s">
        <v>28</v>
      </c>
      <c r="W1" s="43" t="s">
        <v>29</v>
      </c>
      <c r="X1" s="43" t="s">
        <v>30</v>
      </c>
      <c r="Y1" s="43" t="s">
        <v>31</v>
      </c>
      <c r="Z1" s="43" t="s">
        <v>32</v>
      </c>
      <c r="AA1" s="43" t="s">
        <v>33</v>
      </c>
      <c r="AB1" s="43" t="s">
        <v>34</v>
      </c>
      <c r="AC1" s="118">
        <f>SUM(AC2:AC161)</f>
        <v>90902892.925323993</v>
      </c>
      <c r="AD1" s="43" t="s">
        <v>36</v>
      </c>
    </row>
    <row r="2" spans="1:31" ht="62.25" customHeight="1">
      <c r="A2" s="66" t="s">
        <v>743</v>
      </c>
      <c r="B2" s="61" t="s">
        <v>240</v>
      </c>
      <c r="C2" s="106" t="s">
        <v>53</v>
      </c>
      <c r="D2" s="108" t="s">
        <v>54</v>
      </c>
      <c r="E2" s="108">
        <v>0</v>
      </c>
      <c r="F2" s="108">
        <v>1000</v>
      </c>
      <c r="G2" s="108">
        <v>1000</v>
      </c>
      <c r="H2" s="108" t="s">
        <v>55</v>
      </c>
      <c r="I2" s="111">
        <v>1000</v>
      </c>
      <c r="J2" s="65">
        <v>1000</v>
      </c>
      <c r="K2" s="64"/>
      <c r="L2" s="65"/>
      <c r="M2" s="64"/>
      <c r="N2" s="64"/>
      <c r="O2" s="64"/>
      <c r="P2" s="65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116"/>
      <c r="AC2" s="117">
        <f>SUM(J2:AB2)</f>
        <v>1000</v>
      </c>
      <c r="AD2" s="117">
        <f>+AC2-I2</f>
        <v>0</v>
      </c>
      <c r="AE2" s="66" t="s">
        <v>743</v>
      </c>
    </row>
    <row r="3" spans="1:31" ht="20.149999999999999" customHeight="1">
      <c r="A3" s="66" t="s">
        <v>743</v>
      </c>
      <c r="B3" s="61" t="s">
        <v>240</v>
      </c>
      <c r="C3" s="108" t="s">
        <v>253</v>
      </c>
      <c r="D3" s="108" t="s">
        <v>254</v>
      </c>
      <c r="E3" s="108">
        <v>0</v>
      </c>
      <c r="F3" s="108">
        <v>1000</v>
      </c>
      <c r="G3" s="108">
        <v>1000</v>
      </c>
      <c r="H3" s="108" t="s">
        <v>8</v>
      </c>
      <c r="I3" s="111">
        <v>1000</v>
      </c>
      <c r="J3" s="65">
        <v>1000</v>
      </c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1"/>
      <c r="AC3" s="117">
        <f t="shared" ref="AC3:AC10" si="0">SUM(J3:AB3)</f>
        <v>1000</v>
      </c>
      <c r="AD3" s="117">
        <f t="shared" ref="AD3:AD10" si="1">+AC3-I3</f>
        <v>0</v>
      </c>
      <c r="AE3" s="66" t="s">
        <v>743</v>
      </c>
    </row>
    <row r="4" spans="1:31" ht="20.149999999999999" customHeight="1">
      <c r="A4" s="66" t="s">
        <v>743</v>
      </c>
      <c r="B4" s="61" t="s">
        <v>240</v>
      </c>
      <c r="C4" s="108" t="s">
        <v>56</v>
      </c>
      <c r="D4" s="108" t="s">
        <v>57</v>
      </c>
      <c r="E4" s="108">
        <v>0</v>
      </c>
      <c r="F4" s="108">
        <v>2000</v>
      </c>
      <c r="G4" s="108">
        <v>2000</v>
      </c>
      <c r="H4" s="108" t="s">
        <v>55</v>
      </c>
      <c r="I4" s="111">
        <v>2000</v>
      </c>
      <c r="J4" s="65">
        <v>2000</v>
      </c>
      <c r="K4" s="65"/>
      <c r="L4" s="82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1"/>
      <c r="AC4" s="117">
        <f t="shared" si="0"/>
        <v>2000</v>
      </c>
      <c r="AD4" s="117">
        <f t="shared" si="1"/>
        <v>0</v>
      </c>
      <c r="AE4" s="66" t="s">
        <v>743</v>
      </c>
    </row>
    <row r="5" spans="1:31" ht="20.149999999999999" customHeight="1">
      <c r="A5" s="66" t="s">
        <v>743</v>
      </c>
      <c r="B5" s="61" t="s">
        <v>342</v>
      </c>
      <c r="C5" s="108" t="s">
        <v>68</v>
      </c>
      <c r="D5" s="108" t="s">
        <v>69</v>
      </c>
      <c r="E5" s="108">
        <v>0</v>
      </c>
      <c r="F5" s="108">
        <v>2000</v>
      </c>
      <c r="G5" s="108">
        <v>2000</v>
      </c>
      <c r="H5" s="108" t="s">
        <v>55</v>
      </c>
      <c r="I5" s="111">
        <v>2000</v>
      </c>
      <c r="J5" s="65">
        <v>2000</v>
      </c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1"/>
      <c r="AC5" s="117">
        <f t="shared" si="0"/>
        <v>2000</v>
      </c>
      <c r="AD5" s="117">
        <f t="shared" si="1"/>
        <v>0</v>
      </c>
      <c r="AE5" s="66" t="s">
        <v>743</v>
      </c>
    </row>
    <row r="6" spans="1:31" ht="20.149999999999999" customHeight="1">
      <c r="A6" s="66" t="s">
        <v>743</v>
      </c>
      <c r="B6" s="61" t="s">
        <v>326</v>
      </c>
      <c r="C6" s="108" t="s">
        <v>327</v>
      </c>
      <c r="D6" s="108" t="s">
        <v>328</v>
      </c>
      <c r="E6" s="108">
        <v>537.09</v>
      </c>
      <c r="F6" s="108">
        <v>5908</v>
      </c>
      <c r="G6" s="108">
        <v>5370.91</v>
      </c>
      <c r="H6" s="108" t="s">
        <v>8</v>
      </c>
      <c r="I6" s="111">
        <f>+F6-E6</f>
        <v>5370.91</v>
      </c>
      <c r="J6" s="82">
        <f>+I6</f>
        <v>5370.91</v>
      </c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1"/>
      <c r="AC6" s="117">
        <f t="shared" si="0"/>
        <v>5370.91</v>
      </c>
      <c r="AD6" s="117">
        <f t="shared" si="1"/>
        <v>0</v>
      </c>
      <c r="AE6" s="66" t="s">
        <v>743</v>
      </c>
    </row>
    <row r="7" spans="1:31" ht="20.149999999999999" customHeight="1">
      <c r="A7" s="66" t="s">
        <v>743</v>
      </c>
      <c r="B7" s="61" t="s">
        <v>311</v>
      </c>
      <c r="C7" s="108" t="s">
        <v>318</v>
      </c>
      <c r="D7" s="108" t="s">
        <v>319</v>
      </c>
      <c r="E7" s="108">
        <v>636.36363600000004</v>
      </c>
      <c r="F7" s="108">
        <v>7000</v>
      </c>
      <c r="G7" s="108">
        <v>6363.636364</v>
      </c>
      <c r="H7" s="108" t="s">
        <v>8</v>
      </c>
      <c r="I7" s="111">
        <f t="shared" ref="I7:I8" si="2">+F7-E7</f>
        <v>6363.636364</v>
      </c>
      <c r="J7" s="82">
        <f>+I7</f>
        <v>6363.636364</v>
      </c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1"/>
      <c r="AC7" s="117">
        <f t="shared" si="0"/>
        <v>6363.636364</v>
      </c>
      <c r="AD7" s="117">
        <f t="shared" si="1"/>
        <v>0</v>
      </c>
      <c r="AE7" s="66" t="s">
        <v>743</v>
      </c>
    </row>
    <row r="8" spans="1:31" ht="20.149999999999999" customHeight="1">
      <c r="A8" s="66" t="s">
        <v>743</v>
      </c>
      <c r="B8" s="61" t="s">
        <v>282</v>
      </c>
      <c r="C8" s="108" t="s">
        <v>103</v>
      </c>
      <c r="D8" s="108" t="s">
        <v>104</v>
      </c>
      <c r="E8" s="108">
        <v>890.91</v>
      </c>
      <c r="F8" s="108">
        <v>9800</v>
      </c>
      <c r="G8" s="108">
        <v>8909.09</v>
      </c>
      <c r="H8" s="108" t="s">
        <v>8</v>
      </c>
      <c r="I8" s="111">
        <f t="shared" si="2"/>
        <v>8909.09</v>
      </c>
      <c r="J8" s="64"/>
      <c r="K8" s="64"/>
      <c r="L8" s="64"/>
      <c r="M8" s="64"/>
      <c r="N8" s="82">
        <f>+I8</f>
        <v>8909.09</v>
      </c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1"/>
      <c r="AC8" s="117">
        <f t="shared" si="0"/>
        <v>8909.09</v>
      </c>
      <c r="AD8" s="117">
        <f t="shared" si="1"/>
        <v>0</v>
      </c>
      <c r="AE8" s="66" t="s">
        <v>743</v>
      </c>
    </row>
    <row r="9" spans="1:31" ht="20.149999999999999" customHeight="1">
      <c r="A9" s="66" t="s">
        <v>743</v>
      </c>
      <c r="B9" s="61" t="s">
        <v>255</v>
      </c>
      <c r="C9" s="108" t="s">
        <v>258</v>
      </c>
      <c r="D9" s="108" t="s">
        <v>259</v>
      </c>
      <c r="E9" s="108">
        <v>1000</v>
      </c>
      <c r="F9" s="108">
        <v>11000</v>
      </c>
      <c r="G9" s="108">
        <v>10000</v>
      </c>
      <c r="H9" s="108" t="s">
        <v>8</v>
      </c>
      <c r="I9" s="111">
        <v>11000</v>
      </c>
      <c r="J9" s="64"/>
      <c r="K9" s="65"/>
      <c r="L9" s="64"/>
      <c r="M9" s="64"/>
      <c r="N9" s="64"/>
      <c r="O9" s="64"/>
      <c r="P9" s="64">
        <v>11000</v>
      </c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1"/>
      <c r="AC9" s="117">
        <f t="shared" si="0"/>
        <v>11000</v>
      </c>
      <c r="AD9" s="117">
        <f t="shared" si="1"/>
        <v>0</v>
      </c>
      <c r="AE9" s="66" t="s">
        <v>743</v>
      </c>
    </row>
    <row r="10" spans="1:31" ht="20.149999999999999" customHeight="1">
      <c r="B10" s="119"/>
      <c r="C10" s="120" t="s">
        <v>746</v>
      </c>
      <c r="D10" s="120" t="s">
        <v>747</v>
      </c>
      <c r="E10" s="120" t="s">
        <v>748</v>
      </c>
      <c r="F10" s="120" t="s">
        <v>749</v>
      </c>
      <c r="G10" s="120">
        <v>1</v>
      </c>
      <c r="H10" s="120" t="s">
        <v>515</v>
      </c>
      <c r="I10" s="121">
        <v>12000</v>
      </c>
      <c r="J10" s="83"/>
      <c r="K10" s="83"/>
      <c r="L10" s="122"/>
      <c r="M10" s="83"/>
      <c r="N10" s="122">
        <v>12000</v>
      </c>
      <c r="O10" s="83"/>
      <c r="P10" s="83"/>
      <c r="Q10" s="122"/>
      <c r="R10" s="122"/>
      <c r="S10" s="122"/>
      <c r="T10" s="83"/>
      <c r="U10" s="123"/>
      <c r="V10" s="122"/>
      <c r="W10" s="122"/>
      <c r="X10" s="122"/>
      <c r="Y10" s="122"/>
      <c r="Z10" s="122"/>
      <c r="AA10" s="122"/>
      <c r="AC10" s="117">
        <f t="shared" si="0"/>
        <v>12000</v>
      </c>
      <c r="AD10" s="117">
        <f t="shared" si="1"/>
        <v>0</v>
      </c>
    </row>
    <row r="11" spans="1:31" ht="20.149999999999999" customHeight="1">
      <c r="A11" s="66" t="s">
        <v>743</v>
      </c>
      <c r="B11" s="61" t="s">
        <v>337</v>
      </c>
      <c r="C11" s="108" t="s">
        <v>103</v>
      </c>
      <c r="D11" s="108" t="s">
        <v>104</v>
      </c>
      <c r="E11" s="108">
        <v>1263.6400000000001</v>
      </c>
      <c r="F11" s="108">
        <v>13900</v>
      </c>
      <c r="G11" s="108">
        <v>12636.36</v>
      </c>
      <c r="H11" s="108" t="s">
        <v>8</v>
      </c>
      <c r="I11" s="111">
        <f t="shared" ref="I11:I15" si="3">+F11-E11</f>
        <v>12636.36</v>
      </c>
      <c r="J11" s="64"/>
      <c r="K11" s="64"/>
      <c r="L11" s="82">
        <f>+I11</f>
        <v>12636.36</v>
      </c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1"/>
      <c r="AC11" s="117">
        <f t="shared" ref="AC11:AC74" si="4">SUM(J11:AB11)</f>
        <v>12636.36</v>
      </c>
      <c r="AD11" s="117">
        <f t="shared" ref="AD11:AD74" si="5">+AC11-I11</f>
        <v>0</v>
      </c>
      <c r="AE11" s="66" t="s">
        <v>743</v>
      </c>
    </row>
    <row r="12" spans="1:31" ht="20.149999999999999" customHeight="1">
      <c r="A12" s="66" t="s">
        <v>743</v>
      </c>
      <c r="B12" s="61" t="s">
        <v>311</v>
      </c>
      <c r="C12" s="108" t="s">
        <v>128</v>
      </c>
      <c r="D12" s="108" t="s">
        <v>129</v>
      </c>
      <c r="E12" s="108">
        <v>1272.73</v>
      </c>
      <c r="F12" s="108">
        <v>14000</v>
      </c>
      <c r="G12" s="108">
        <v>12727.27</v>
      </c>
      <c r="H12" s="108" t="s">
        <v>8</v>
      </c>
      <c r="I12" s="111">
        <f t="shared" si="3"/>
        <v>12727.27</v>
      </c>
      <c r="J12" s="65">
        <v>12727.27</v>
      </c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1"/>
      <c r="AC12" s="117">
        <f t="shared" si="4"/>
        <v>12727.27</v>
      </c>
      <c r="AD12" s="117">
        <f t="shared" si="5"/>
        <v>0</v>
      </c>
      <c r="AE12" s="66" t="s">
        <v>743</v>
      </c>
    </row>
    <row r="13" spans="1:31" ht="20.149999999999999" customHeight="1">
      <c r="A13" s="66" t="s">
        <v>743</v>
      </c>
      <c r="B13" s="61" t="s">
        <v>311</v>
      </c>
      <c r="C13" s="108" t="s">
        <v>245</v>
      </c>
      <c r="D13" s="108" t="s">
        <v>246</v>
      </c>
      <c r="E13" s="108">
        <v>1363.64</v>
      </c>
      <c r="F13" s="108">
        <v>15000</v>
      </c>
      <c r="G13" s="108">
        <v>13636.36</v>
      </c>
      <c r="H13" s="108" t="s">
        <v>8</v>
      </c>
      <c r="I13" s="111">
        <f t="shared" si="3"/>
        <v>13636.36</v>
      </c>
      <c r="J13" s="65">
        <v>13636.36</v>
      </c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1"/>
      <c r="AC13" s="117">
        <f t="shared" si="4"/>
        <v>13636.36</v>
      </c>
      <c r="AD13" s="117">
        <f t="shared" si="5"/>
        <v>0</v>
      </c>
      <c r="AE13" s="66" t="s">
        <v>743</v>
      </c>
    </row>
    <row r="14" spans="1:31" ht="20.149999999999999" customHeight="1">
      <c r="A14" s="66" t="s">
        <v>743</v>
      </c>
      <c r="B14" s="61" t="s">
        <v>311</v>
      </c>
      <c r="C14" s="108" t="s">
        <v>87</v>
      </c>
      <c r="D14" s="108" t="s">
        <v>88</v>
      </c>
      <c r="E14" s="108">
        <v>1363.64</v>
      </c>
      <c r="F14" s="108">
        <v>15000</v>
      </c>
      <c r="G14" s="108">
        <v>13636.36</v>
      </c>
      <c r="H14" s="108" t="s">
        <v>8</v>
      </c>
      <c r="I14" s="111">
        <f t="shared" si="3"/>
        <v>13636.36</v>
      </c>
      <c r="J14" s="65">
        <v>13636.36</v>
      </c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1"/>
      <c r="AC14" s="117">
        <f t="shared" si="4"/>
        <v>13636.36</v>
      </c>
      <c r="AD14" s="117">
        <f t="shared" si="5"/>
        <v>0</v>
      </c>
      <c r="AE14" s="66" t="s">
        <v>743</v>
      </c>
    </row>
    <row r="15" spans="1:31" ht="20.149999999999999" customHeight="1">
      <c r="A15" s="66" t="s">
        <v>743</v>
      </c>
      <c r="B15" s="61" t="s">
        <v>240</v>
      </c>
      <c r="C15" s="108" t="s">
        <v>78</v>
      </c>
      <c r="D15" s="108" t="s">
        <v>79</v>
      </c>
      <c r="E15" s="108">
        <v>1418.18</v>
      </c>
      <c r="F15" s="108">
        <v>15600</v>
      </c>
      <c r="G15" s="108">
        <v>14181.82</v>
      </c>
      <c r="H15" s="108" t="s">
        <v>8</v>
      </c>
      <c r="I15" s="111">
        <f t="shared" si="3"/>
        <v>14181.82</v>
      </c>
      <c r="J15" s="82"/>
      <c r="K15" s="64"/>
      <c r="L15" s="65">
        <v>14181.82</v>
      </c>
      <c r="M15" s="64"/>
      <c r="N15" s="65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1"/>
      <c r="AC15" s="117">
        <f t="shared" si="4"/>
        <v>14181.82</v>
      </c>
      <c r="AD15" s="117">
        <f t="shared" si="5"/>
        <v>0</v>
      </c>
      <c r="AE15" s="66" t="s">
        <v>743</v>
      </c>
    </row>
    <row r="16" spans="1:31" ht="20.149999999999999" customHeight="1">
      <c r="A16" s="66" t="s">
        <v>743</v>
      </c>
      <c r="B16" s="61" t="s">
        <v>240</v>
      </c>
      <c r="C16" s="108" t="s">
        <v>251</v>
      </c>
      <c r="D16" s="108" t="s">
        <v>252</v>
      </c>
      <c r="E16" s="108">
        <v>1700</v>
      </c>
      <c r="F16" s="108">
        <v>18700</v>
      </c>
      <c r="G16" s="108">
        <v>17000</v>
      </c>
      <c r="H16" s="108" t="s">
        <v>8</v>
      </c>
      <c r="I16" s="111">
        <v>18700</v>
      </c>
      <c r="J16" s="82"/>
      <c r="K16" s="64"/>
      <c r="L16" s="64"/>
      <c r="M16" s="64"/>
      <c r="N16" s="64"/>
      <c r="O16" s="64">
        <v>18700</v>
      </c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1"/>
      <c r="AC16" s="117">
        <f t="shared" si="4"/>
        <v>18700</v>
      </c>
      <c r="AD16" s="117">
        <f t="shared" si="5"/>
        <v>0</v>
      </c>
      <c r="AE16" s="66" t="s">
        <v>743</v>
      </c>
    </row>
    <row r="17" spans="1:31" ht="20.149999999999999" customHeight="1">
      <c r="A17" s="66" t="s">
        <v>743</v>
      </c>
      <c r="B17" s="61" t="s">
        <v>326</v>
      </c>
      <c r="C17" s="108" t="s">
        <v>333</v>
      </c>
      <c r="D17" s="108" t="s">
        <v>334</v>
      </c>
      <c r="E17" s="108">
        <v>0</v>
      </c>
      <c r="F17" s="108">
        <v>19500</v>
      </c>
      <c r="G17" s="108">
        <v>19500</v>
      </c>
      <c r="H17" s="108" t="s">
        <v>8</v>
      </c>
      <c r="I17" s="111">
        <f t="shared" ref="I17:I21" si="6">+F17-E17</f>
        <v>19500</v>
      </c>
      <c r="J17" s="82">
        <f>+I17</f>
        <v>19500</v>
      </c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1"/>
      <c r="AC17" s="117">
        <f t="shared" si="4"/>
        <v>19500</v>
      </c>
      <c r="AD17" s="117">
        <f t="shared" si="5"/>
        <v>0</v>
      </c>
      <c r="AE17" s="66" t="s">
        <v>743</v>
      </c>
    </row>
    <row r="18" spans="1:31" ht="20.149999999999999" customHeight="1">
      <c r="A18" s="66" t="s">
        <v>743</v>
      </c>
      <c r="B18" s="61" t="s">
        <v>311</v>
      </c>
      <c r="C18" s="108" t="s">
        <v>87</v>
      </c>
      <c r="D18" s="108" t="s">
        <v>88</v>
      </c>
      <c r="E18" s="108">
        <v>1818.18</v>
      </c>
      <c r="F18" s="108">
        <v>20000</v>
      </c>
      <c r="G18" s="108">
        <v>18181.82</v>
      </c>
      <c r="H18" s="108" t="s">
        <v>8</v>
      </c>
      <c r="I18" s="111">
        <f t="shared" si="6"/>
        <v>18181.82</v>
      </c>
      <c r="J18" s="65">
        <v>18181.82</v>
      </c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1"/>
      <c r="AC18" s="117">
        <f t="shared" si="4"/>
        <v>18181.82</v>
      </c>
      <c r="AD18" s="117">
        <f t="shared" si="5"/>
        <v>0</v>
      </c>
      <c r="AE18" s="66" t="s">
        <v>743</v>
      </c>
    </row>
    <row r="19" spans="1:31" ht="20.149999999999999" customHeight="1">
      <c r="A19" s="66" t="s">
        <v>743</v>
      </c>
      <c r="B19" s="61" t="s">
        <v>240</v>
      </c>
      <c r="C19" s="108" t="s">
        <v>243</v>
      </c>
      <c r="D19" s="108" t="s">
        <v>244</v>
      </c>
      <c r="E19" s="108">
        <v>2000</v>
      </c>
      <c r="F19" s="108">
        <v>22000</v>
      </c>
      <c r="G19" s="108">
        <v>20000</v>
      </c>
      <c r="H19" s="108" t="s">
        <v>8</v>
      </c>
      <c r="I19" s="111">
        <f t="shared" si="6"/>
        <v>20000</v>
      </c>
      <c r="J19" s="64"/>
      <c r="K19" s="64"/>
      <c r="L19" s="64"/>
      <c r="M19" s="65">
        <v>20000</v>
      </c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1"/>
      <c r="AC19" s="117">
        <f t="shared" si="4"/>
        <v>20000</v>
      </c>
      <c r="AD19" s="117">
        <f t="shared" si="5"/>
        <v>0</v>
      </c>
      <c r="AE19" s="66" t="s">
        <v>743</v>
      </c>
    </row>
    <row r="20" spans="1:31" ht="20.149999999999999" customHeight="1">
      <c r="A20" s="66" t="s">
        <v>743</v>
      </c>
      <c r="B20" s="61" t="s">
        <v>240</v>
      </c>
      <c r="C20" s="108" t="s">
        <v>249</v>
      </c>
      <c r="D20" s="108" t="s">
        <v>250</v>
      </c>
      <c r="E20" s="108">
        <v>2000</v>
      </c>
      <c r="F20" s="108">
        <v>22000</v>
      </c>
      <c r="G20" s="108">
        <v>20000</v>
      </c>
      <c r="H20" s="108" t="s">
        <v>8</v>
      </c>
      <c r="I20" s="111">
        <f t="shared" si="6"/>
        <v>20000</v>
      </c>
      <c r="J20" s="82"/>
      <c r="K20" s="64"/>
      <c r="L20" s="64"/>
      <c r="M20" s="64"/>
      <c r="N20" s="64"/>
      <c r="O20" s="64"/>
      <c r="P20" s="65">
        <v>20000</v>
      </c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1"/>
      <c r="AC20" s="117">
        <f t="shared" si="4"/>
        <v>20000</v>
      </c>
      <c r="AD20" s="117">
        <f t="shared" si="5"/>
        <v>0</v>
      </c>
      <c r="AE20" s="66" t="s">
        <v>743</v>
      </c>
    </row>
    <row r="21" spans="1:31" ht="20.149999999999999" customHeight="1">
      <c r="A21" s="66" t="s">
        <v>743</v>
      </c>
      <c r="B21" s="61" t="s">
        <v>282</v>
      </c>
      <c r="C21" s="108" t="s">
        <v>285</v>
      </c>
      <c r="D21" s="108" t="s">
        <v>286</v>
      </c>
      <c r="E21" s="108">
        <v>2018.18</v>
      </c>
      <c r="F21" s="108">
        <v>22200</v>
      </c>
      <c r="G21" s="108">
        <v>20181.82</v>
      </c>
      <c r="H21" s="108" t="s">
        <v>8</v>
      </c>
      <c r="I21" s="111">
        <f t="shared" si="6"/>
        <v>20181.82</v>
      </c>
      <c r="J21" s="64"/>
      <c r="K21" s="82"/>
      <c r="L21" s="82">
        <f>+I21</f>
        <v>20181.82</v>
      </c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1"/>
      <c r="AC21" s="117">
        <f t="shared" si="4"/>
        <v>20181.82</v>
      </c>
      <c r="AD21" s="117">
        <f t="shared" si="5"/>
        <v>0</v>
      </c>
      <c r="AE21" s="66" t="s">
        <v>743</v>
      </c>
    </row>
    <row r="22" spans="1:31" ht="20.149999999999999" customHeight="1">
      <c r="B22" s="119"/>
      <c r="C22" s="120" t="s">
        <v>750</v>
      </c>
      <c r="D22" s="120" t="s">
        <v>751</v>
      </c>
      <c r="E22" s="120" t="s">
        <v>752</v>
      </c>
      <c r="F22" s="120" t="s">
        <v>753</v>
      </c>
      <c r="G22" s="120">
        <v>1</v>
      </c>
      <c r="H22" s="120" t="s">
        <v>515</v>
      </c>
      <c r="I22" s="121">
        <v>24000</v>
      </c>
      <c r="J22" s="125">
        <f>+I22</f>
        <v>24000</v>
      </c>
      <c r="K22" s="83"/>
      <c r="L22" s="122"/>
      <c r="M22" s="83"/>
      <c r="N22" s="122"/>
      <c r="O22" s="83"/>
      <c r="P22" s="83"/>
      <c r="Q22" s="122"/>
      <c r="R22" s="122"/>
      <c r="S22" s="122"/>
      <c r="T22" s="83"/>
      <c r="U22" s="123"/>
      <c r="V22" s="83"/>
      <c r="W22" s="122"/>
      <c r="X22" s="122"/>
      <c r="Y22" s="122"/>
      <c r="Z22" s="122"/>
      <c r="AA22" s="122"/>
      <c r="AC22" s="117">
        <f t="shared" si="4"/>
        <v>24000</v>
      </c>
      <c r="AD22" s="117">
        <f t="shared" si="5"/>
        <v>0</v>
      </c>
    </row>
    <row r="23" spans="1:31" ht="20.149999999999999" customHeight="1">
      <c r="A23" s="66" t="s">
        <v>743</v>
      </c>
      <c r="B23" s="61" t="s">
        <v>311</v>
      </c>
      <c r="C23" s="108" t="s">
        <v>128</v>
      </c>
      <c r="D23" s="108" t="s">
        <v>129</v>
      </c>
      <c r="E23" s="108">
        <v>2263.64</v>
      </c>
      <c r="F23" s="108">
        <v>24900</v>
      </c>
      <c r="G23" s="108">
        <v>22636.36</v>
      </c>
      <c r="H23" s="108" t="s">
        <v>8</v>
      </c>
      <c r="I23" s="111">
        <f t="shared" ref="I23:I25" si="7">+F23-E23</f>
        <v>22636.36</v>
      </c>
      <c r="J23" s="65">
        <v>22636.36</v>
      </c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1"/>
      <c r="AC23" s="117">
        <f t="shared" si="4"/>
        <v>22636.36</v>
      </c>
      <c r="AD23" s="117">
        <f t="shared" si="5"/>
        <v>0</v>
      </c>
      <c r="AE23" s="66" t="s">
        <v>743</v>
      </c>
    </row>
    <row r="24" spans="1:31" ht="20.149999999999999" customHeight="1">
      <c r="A24" s="66" t="s">
        <v>743</v>
      </c>
      <c r="B24" s="61" t="s">
        <v>240</v>
      </c>
      <c r="C24" s="108" t="s">
        <v>245</v>
      </c>
      <c r="D24" s="108" t="s">
        <v>246</v>
      </c>
      <c r="E24" s="108">
        <v>2272.73</v>
      </c>
      <c r="F24" s="108">
        <v>25000</v>
      </c>
      <c r="G24" s="108">
        <v>22727.27</v>
      </c>
      <c r="H24" s="108" t="s">
        <v>8</v>
      </c>
      <c r="I24" s="111">
        <f t="shared" si="7"/>
        <v>22727.27</v>
      </c>
      <c r="J24" s="65">
        <v>22727.27</v>
      </c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1"/>
      <c r="AC24" s="117">
        <f t="shared" si="4"/>
        <v>22727.27</v>
      </c>
      <c r="AD24" s="117">
        <f t="shared" si="5"/>
        <v>0</v>
      </c>
      <c r="AE24" s="66" t="s">
        <v>743</v>
      </c>
    </row>
    <row r="25" spans="1:31" ht="20.149999999999999" customHeight="1">
      <c r="A25" s="66" t="s">
        <v>743</v>
      </c>
      <c r="B25" s="61" t="s">
        <v>240</v>
      </c>
      <c r="C25" s="108" t="s">
        <v>245</v>
      </c>
      <c r="D25" s="108" t="s">
        <v>246</v>
      </c>
      <c r="E25" s="108">
        <v>2272.73</v>
      </c>
      <c r="F25" s="108">
        <v>25000</v>
      </c>
      <c r="G25" s="108">
        <v>22727.27</v>
      </c>
      <c r="H25" s="108" t="s">
        <v>8</v>
      </c>
      <c r="I25" s="111">
        <f t="shared" si="7"/>
        <v>22727.27</v>
      </c>
      <c r="J25" s="65">
        <v>22727.27</v>
      </c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1"/>
      <c r="AC25" s="117">
        <f t="shared" si="4"/>
        <v>22727.27</v>
      </c>
      <c r="AD25" s="117">
        <f t="shared" si="5"/>
        <v>0</v>
      </c>
      <c r="AE25" s="66" t="s">
        <v>743</v>
      </c>
    </row>
    <row r="26" spans="1:31" ht="20.149999999999999" customHeight="1">
      <c r="B26" s="119"/>
      <c r="C26" s="120" t="s">
        <v>754</v>
      </c>
      <c r="D26" s="120" t="s">
        <v>755</v>
      </c>
      <c r="E26" s="120" t="s">
        <v>756</v>
      </c>
      <c r="F26" s="120" t="s">
        <v>757</v>
      </c>
      <c r="G26" s="120">
        <v>1</v>
      </c>
      <c r="H26" s="120" t="s">
        <v>515</v>
      </c>
      <c r="I26" s="121">
        <v>30000</v>
      </c>
      <c r="J26" s="83"/>
      <c r="K26" s="83"/>
      <c r="L26" s="122"/>
      <c r="M26" s="83"/>
      <c r="N26" s="122">
        <v>30000</v>
      </c>
      <c r="O26" s="83"/>
      <c r="P26" s="83"/>
      <c r="Q26" s="122"/>
      <c r="R26" s="122"/>
      <c r="S26" s="122"/>
      <c r="T26" s="83"/>
      <c r="U26" s="123"/>
      <c r="V26" s="83"/>
      <c r="W26" s="122"/>
      <c r="X26" s="122"/>
      <c r="Y26" s="122"/>
      <c r="Z26" s="122"/>
      <c r="AA26" s="122"/>
      <c r="AC26" s="117">
        <f t="shared" si="4"/>
        <v>30000</v>
      </c>
      <c r="AD26" s="117">
        <f t="shared" si="5"/>
        <v>0</v>
      </c>
    </row>
    <row r="27" spans="1:31" ht="20.149999999999999" customHeight="1">
      <c r="A27" s="66" t="s">
        <v>743</v>
      </c>
      <c r="B27" s="61" t="s">
        <v>338</v>
      </c>
      <c r="C27" s="108" t="s">
        <v>94</v>
      </c>
      <c r="D27" s="108" t="s">
        <v>95</v>
      </c>
      <c r="E27" s="108">
        <v>2727.27</v>
      </c>
      <c r="F27" s="108">
        <v>30000</v>
      </c>
      <c r="G27" s="108">
        <v>27272.73</v>
      </c>
      <c r="H27" s="108" t="s">
        <v>8</v>
      </c>
      <c r="I27" s="111">
        <f t="shared" ref="I27:I32" si="8">+F27-E27</f>
        <v>27272.73</v>
      </c>
      <c r="J27" s="65">
        <v>27272.73</v>
      </c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1"/>
      <c r="AC27" s="117">
        <f t="shared" si="4"/>
        <v>27272.73</v>
      </c>
      <c r="AD27" s="117">
        <f t="shared" si="5"/>
        <v>0</v>
      </c>
      <c r="AE27" s="66" t="s">
        <v>743</v>
      </c>
    </row>
    <row r="28" spans="1:31" ht="20.149999999999999" customHeight="1">
      <c r="A28" s="66" t="s">
        <v>743</v>
      </c>
      <c r="B28" s="61" t="s">
        <v>342</v>
      </c>
      <c r="C28" s="108" t="s">
        <v>156</v>
      </c>
      <c r="D28" s="108" t="s">
        <v>157</v>
      </c>
      <c r="E28" s="108">
        <v>2727.27</v>
      </c>
      <c r="F28" s="108">
        <v>30000</v>
      </c>
      <c r="G28" s="108">
        <v>27272.73</v>
      </c>
      <c r="H28" s="108" t="s">
        <v>8</v>
      </c>
      <c r="I28" s="111">
        <f t="shared" si="8"/>
        <v>27272.73</v>
      </c>
      <c r="J28" s="65">
        <v>27272.73</v>
      </c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1"/>
      <c r="AC28" s="117">
        <f t="shared" si="4"/>
        <v>27272.73</v>
      </c>
      <c r="AD28" s="117">
        <f t="shared" si="5"/>
        <v>0</v>
      </c>
      <c r="AE28" s="66" t="s">
        <v>743</v>
      </c>
    </row>
    <row r="29" spans="1:31" ht="20.149999999999999" customHeight="1">
      <c r="A29" s="66" t="s">
        <v>743</v>
      </c>
      <c r="B29" s="61" t="s">
        <v>342</v>
      </c>
      <c r="C29" s="108" t="s">
        <v>156</v>
      </c>
      <c r="D29" s="108" t="s">
        <v>157</v>
      </c>
      <c r="E29" s="108">
        <v>2727.27</v>
      </c>
      <c r="F29" s="108">
        <v>30000</v>
      </c>
      <c r="G29" s="108">
        <v>27272.73</v>
      </c>
      <c r="H29" s="108" t="s">
        <v>8</v>
      </c>
      <c r="I29" s="111">
        <f t="shared" si="8"/>
        <v>27272.73</v>
      </c>
      <c r="J29" s="65">
        <v>27272.73</v>
      </c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1"/>
      <c r="AC29" s="117">
        <f t="shared" si="4"/>
        <v>27272.73</v>
      </c>
      <c r="AD29" s="117">
        <f t="shared" si="5"/>
        <v>0</v>
      </c>
      <c r="AE29" s="66" t="s">
        <v>743</v>
      </c>
    </row>
    <row r="30" spans="1:31" ht="20.149999999999999" customHeight="1">
      <c r="A30" s="66" t="s">
        <v>743</v>
      </c>
      <c r="B30" s="61" t="s">
        <v>342</v>
      </c>
      <c r="C30" s="108" t="s">
        <v>276</v>
      </c>
      <c r="D30" s="108" t="s">
        <v>277</v>
      </c>
      <c r="E30" s="108">
        <v>2727.27</v>
      </c>
      <c r="F30" s="108">
        <v>30000</v>
      </c>
      <c r="G30" s="108">
        <v>27272.73</v>
      </c>
      <c r="H30" s="108" t="s">
        <v>8</v>
      </c>
      <c r="I30" s="111">
        <f t="shared" si="8"/>
        <v>27272.73</v>
      </c>
      <c r="J30" s="64"/>
      <c r="K30" s="64"/>
      <c r="L30" s="64"/>
      <c r="M30" s="64"/>
      <c r="N30" s="64"/>
      <c r="O30" s="64"/>
      <c r="P30" s="82">
        <f>+I30</f>
        <v>27272.73</v>
      </c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1"/>
      <c r="AC30" s="117">
        <f t="shared" si="4"/>
        <v>27272.73</v>
      </c>
      <c r="AD30" s="117">
        <f t="shared" si="5"/>
        <v>0</v>
      </c>
      <c r="AE30" s="66" t="s">
        <v>743</v>
      </c>
    </row>
    <row r="31" spans="1:31" ht="20.149999999999999" customHeight="1">
      <c r="A31" s="66" t="s">
        <v>743</v>
      </c>
      <c r="B31" s="61" t="s">
        <v>307</v>
      </c>
      <c r="C31" s="108" t="s">
        <v>308</v>
      </c>
      <c r="D31" s="108" t="s">
        <v>309</v>
      </c>
      <c r="E31" s="108">
        <v>3348.2142859999999</v>
      </c>
      <c r="F31" s="108">
        <v>37500</v>
      </c>
      <c r="G31" s="108">
        <v>34151.785713999998</v>
      </c>
      <c r="H31" s="108" t="s">
        <v>8</v>
      </c>
      <c r="I31" s="111">
        <f t="shared" si="8"/>
        <v>34151.785713999998</v>
      </c>
      <c r="J31" s="82">
        <f>+I31</f>
        <v>34151.785713999998</v>
      </c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1"/>
      <c r="AC31" s="117">
        <f t="shared" si="4"/>
        <v>34151.785713999998</v>
      </c>
      <c r="AD31" s="117">
        <f t="shared" si="5"/>
        <v>0</v>
      </c>
      <c r="AE31" s="66" t="s">
        <v>743</v>
      </c>
    </row>
    <row r="32" spans="1:31" ht="20.149999999999999" customHeight="1">
      <c r="A32" s="66" t="s">
        <v>743</v>
      </c>
      <c r="B32" s="61" t="s">
        <v>326</v>
      </c>
      <c r="C32" s="108" t="s">
        <v>335</v>
      </c>
      <c r="D32" s="108" t="s">
        <v>336</v>
      </c>
      <c r="E32" s="108">
        <v>0</v>
      </c>
      <c r="F32" s="108">
        <v>38000</v>
      </c>
      <c r="G32" s="108">
        <v>38000</v>
      </c>
      <c r="H32" s="108" t="s">
        <v>8</v>
      </c>
      <c r="I32" s="111">
        <f t="shared" si="8"/>
        <v>38000</v>
      </c>
      <c r="J32" s="64"/>
      <c r="K32" s="64"/>
      <c r="L32" s="64"/>
      <c r="M32" s="64"/>
      <c r="N32" s="82">
        <f>+I32</f>
        <v>38000</v>
      </c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1"/>
      <c r="AC32" s="117">
        <f t="shared" si="4"/>
        <v>38000</v>
      </c>
      <c r="AD32" s="117">
        <f t="shared" si="5"/>
        <v>0</v>
      </c>
      <c r="AE32" s="66" t="s">
        <v>743</v>
      </c>
    </row>
    <row r="33" spans="1:31" ht="20.149999999999999" customHeight="1">
      <c r="B33" s="119"/>
      <c r="C33" s="120" t="s">
        <v>758</v>
      </c>
      <c r="D33" s="120" t="s">
        <v>759</v>
      </c>
      <c r="E33" s="120" t="s">
        <v>760</v>
      </c>
      <c r="F33" s="120" t="s">
        <v>761</v>
      </c>
      <c r="G33" s="120">
        <v>1</v>
      </c>
      <c r="H33" s="120" t="s">
        <v>515</v>
      </c>
      <c r="I33" s="121">
        <v>40000</v>
      </c>
      <c r="J33" s="125">
        <f>+I33</f>
        <v>40000</v>
      </c>
      <c r="K33" s="83"/>
      <c r="L33" s="122"/>
      <c r="M33" s="83"/>
      <c r="N33" s="122"/>
      <c r="O33" s="83"/>
      <c r="P33" s="83"/>
      <c r="Q33" s="122"/>
      <c r="R33" s="122"/>
      <c r="S33" s="122"/>
      <c r="T33" s="83"/>
      <c r="U33" s="123"/>
      <c r="V33" s="83"/>
      <c r="W33" s="122"/>
      <c r="X33" s="122"/>
      <c r="Y33" s="122"/>
      <c r="Z33" s="122"/>
      <c r="AA33" s="122"/>
      <c r="AC33" s="117">
        <f t="shared" si="4"/>
        <v>40000</v>
      </c>
      <c r="AD33" s="117">
        <f t="shared" si="5"/>
        <v>0</v>
      </c>
    </row>
    <row r="34" spans="1:31" ht="20.149999999999999" customHeight="1">
      <c r="A34" s="66" t="s">
        <v>743</v>
      </c>
      <c r="B34" s="61" t="s">
        <v>326</v>
      </c>
      <c r="C34" s="108" t="s">
        <v>331</v>
      </c>
      <c r="D34" s="108" t="s">
        <v>332</v>
      </c>
      <c r="E34" s="108">
        <v>3746.82</v>
      </c>
      <c r="F34" s="108">
        <v>41215</v>
      </c>
      <c r="G34" s="108">
        <v>37468.18</v>
      </c>
      <c r="H34" s="108" t="s">
        <v>8</v>
      </c>
      <c r="I34" s="111">
        <f t="shared" ref="I34:I38" si="9">+F34-E34</f>
        <v>37468.18</v>
      </c>
      <c r="J34" s="82">
        <f>+I34</f>
        <v>37468.18</v>
      </c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1"/>
      <c r="AC34" s="117">
        <f t="shared" si="4"/>
        <v>37468.18</v>
      </c>
      <c r="AD34" s="117">
        <f t="shared" si="5"/>
        <v>0</v>
      </c>
      <c r="AE34" s="66" t="s">
        <v>743</v>
      </c>
    </row>
    <row r="35" spans="1:31" ht="20.149999999999999" customHeight="1">
      <c r="A35" s="66" t="s">
        <v>743</v>
      </c>
      <c r="B35" s="61" t="s">
        <v>311</v>
      </c>
      <c r="C35" s="108" t="s">
        <v>128</v>
      </c>
      <c r="D35" s="108" t="s">
        <v>129</v>
      </c>
      <c r="E35" s="108">
        <v>4072.73</v>
      </c>
      <c r="F35" s="108">
        <v>44800.01</v>
      </c>
      <c r="G35" s="108">
        <v>40727.279999999999</v>
      </c>
      <c r="H35" s="108" t="s">
        <v>8</v>
      </c>
      <c r="I35" s="111">
        <f t="shared" si="9"/>
        <v>40727.279999999999</v>
      </c>
      <c r="J35" s="65">
        <v>40727.279999999999</v>
      </c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1"/>
      <c r="AC35" s="117">
        <f t="shared" si="4"/>
        <v>40727.279999999999</v>
      </c>
      <c r="AD35" s="117">
        <f t="shared" si="5"/>
        <v>0</v>
      </c>
      <c r="AE35" s="66" t="s">
        <v>743</v>
      </c>
    </row>
    <row r="36" spans="1:31" ht="20.149999999999999" customHeight="1">
      <c r="A36" s="66" t="s">
        <v>743</v>
      </c>
      <c r="B36" s="61" t="s">
        <v>338</v>
      </c>
      <c r="C36" s="108" t="s">
        <v>335</v>
      </c>
      <c r="D36" s="108" t="s">
        <v>336</v>
      </c>
      <c r="E36" s="108">
        <v>0</v>
      </c>
      <c r="F36" s="108">
        <v>47000</v>
      </c>
      <c r="G36" s="108">
        <v>47000</v>
      </c>
      <c r="H36" s="108" t="s">
        <v>8</v>
      </c>
      <c r="I36" s="111">
        <f t="shared" si="9"/>
        <v>47000</v>
      </c>
      <c r="J36" s="64"/>
      <c r="K36" s="64"/>
      <c r="L36" s="64"/>
      <c r="M36" s="64"/>
      <c r="N36" s="82">
        <f>+I36</f>
        <v>47000</v>
      </c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1"/>
      <c r="AC36" s="117">
        <f t="shared" si="4"/>
        <v>47000</v>
      </c>
      <c r="AD36" s="117">
        <f t="shared" si="5"/>
        <v>0</v>
      </c>
      <c r="AE36" s="66" t="s">
        <v>743</v>
      </c>
    </row>
    <row r="37" spans="1:31" ht="20.149999999999999" customHeight="1">
      <c r="A37" s="66" t="s">
        <v>743</v>
      </c>
      <c r="B37" s="61" t="s">
        <v>295</v>
      </c>
      <c r="C37" s="108" t="s">
        <v>300</v>
      </c>
      <c r="D37" s="108" t="s">
        <v>301</v>
      </c>
      <c r="E37" s="108">
        <v>4312.91</v>
      </c>
      <c r="F37" s="108">
        <v>47442</v>
      </c>
      <c r="G37" s="108">
        <v>43129.09</v>
      </c>
      <c r="H37" s="108" t="s">
        <v>8</v>
      </c>
      <c r="I37" s="111">
        <f t="shared" si="9"/>
        <v>43129.09</v>
      </c>
      <c r="J37" s="65"/>
      <c r="K37" s="64"/>
      <c r="L37" s="82">
        <f>+I37</f>
        <v>43129.09</v>
      </c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1"/>
      <c r="AC37" s="117">
        <f t="shared" si="4"/>
        <v>43129.09</v>
      </c>
      <c r="AD37" s="117">
        <f t="shared" si="5"/>
        <v>0</v>
      </c>
      <c r="AE37" s="66" t="s">
        <v>743</v>
      </c>
    </row>
    <row r="38" spans="1:31" ht="20.149999999999999" customHeight="1">
      <c r="A38" s="66" t="s">
        <v>743</v>
      </c>
      <c r="B38" s="61" t="s">
        <v>307</v>
      </c>
      <c r="C38" s="108" t="s">
        <v>140</v>
      </c>
      <c r="D38" s="108" t="s">
        <v>141</v>
      </c>
      <c r="E38" s="108">
        <v>0</v>
      </c>
      <c r="F38" s="108">
        <v>48250</v>
      </c>
      <c r="G38" s="108">
        <v>48250</v>
      </c>
      <c r="H38" s="108" t="s">
        <v>55</v>
      </c>
      <c r="I38" s="111">
        <f t="shared" si="9"/>
        <v>48250</v>
      </c>
      <c r="J38" s="64"/>
      <c r="K38" s="64"/>
      <c r="L38" s="64"/>
      <c r="M38" s="64"/>
      <c r="N38" s="82">
        <f>+I38</f>
        <v>48250</v>
      </c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1"/>
      <c r="AC38" s="117">
        <f t="shared" si="4"/>
        <v>48250</v>
      </c>
      <c r="AD38" s="117">
        <f t="shared" si="5"/>
        <v>0</v>
      </c>
      <c r="AE38" s="66" t="s">
        <v>743</v>
      </c>
    </row>
    <row r="39" spans="1:31" ht="20.149999999999999" customHeight="1">
      <c r="A39" s="66" t="s">
        <v>743</v>
      </c>
      <c r="B39" s="61" t="s">
        <v>260</v>
      </c>
      <c r="C39" s="108" t="s">
        <v>116</v>
      </c>
      <c r="D39" s="108" t="s">
        <v>117</v>
      </c>
      <c r="E39" s="108">
        <v>0</v>
      </c>
      <c r="F39" s="108">
        <v>49500</v>
      </c>
      <c r="G39" s="108">
        <v>49500</v>
      </c>
      <c r="H39" s="108" t="s">
        <v>55</v>
      </c>
      <c r="I39" s="111">
        <v>49500</v>
      </c>
      <c r="J39" s="64"/>
      <c r="K39" s="64"/>
      <c r="L39" s="64"/>
      <c r="M39" s="64"/>
      <c r="N39" s="65">
        <v>49500</v>
      </c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1"/>
      <c r="AC39" s="117">
        <f t="shared" si="4"/>
        <v>49500</v>
      </c>
      <c r="AD39" s="117">
        <f t="shared" si="5"/>
        <v>0</v>
      </c>
      <c r="AE39" s="66" t="s">
        <v>743</v>
      </c>
    </row>
    <row r="40" spans="1:31" ht="20.149999999999999" customHeight="1">
      <c r="A40" s="66" t="s">
        <v>743</v>
      </c>
      <c r="B40" s="61" t="s">
        <v>260</v>
      </c>
      <c r="C40" s="108" t="s">
        <v>116</v>
      </c>
      <c r="D40" s="108" t="s">
        <v>117</v>
      </c>
      <c r="E40" s="108">
        <v>0</v>
      </c>
      <c r="F40" s="108">
        <v>49500</v>
      </c>
      <c r="G40" s="108">
        <v>49500</v>
      </c>
      <c r="H40" s="108" t="s">
        <v>55</v>
      </c>
      <c r="I40" s="111">
        <v>49500</v>
      </c>
      <c r="J40" s="64"/>
      <c r="K40" s="64"/>
      <c r="L40" s="64"/>
      <c r="M40" s="64"/>
      <c r="N40" s="65">
        <v>49500</v>
      </c>
      <c r="O40" s="64"/>
      <c r="P40" s="64"/>
      <c r="Q40" s="64"/>
      <c r="R40" s="65"/>
      <c r="S40" s="64"/>
      <c r="T40" s="64"/>
      <c r="U40" s="64"/>
      <c r="V40" s="64"/>
      <c r="W40" s="64"/>
      <c r="X40" s="64"/>
      <c r="Y40" s="64"/>
      <c r="Z40" s="64"/>
      <c r="AA40" s="64"/>
      <c r="AB40" s="61"/>
      <c r="AC40" s="117">
        <f t="shared" si="4"/>
        <v>49500</v>
      </c>
      <c r="AD40" s="117">
        <f t="shared" si="5"/>
        <v>0</v>
      </c>
      <c r="AE40" s="66" t="s">
        <v>743</v>
      </c>
    </row>
    <row r="41" spans="1:31" ht="20.149999999999999" customHeight="1">
      <c r="A41" s="66" t="s">
        <v>743</v>
      </c>
      <c r="B41" s="61" t="s">
        <v>282</v>
      </c>
      <c r="C41" s="108" t="s">
        <v>287</v>
      </c>
      <c r="D41" s="108" t="s">
        <v>288</v>
      </c>
      <c r="E41" s="108">
        <v>4545.46</v>
      </c>
      <c r="F41" s="108">
        <v>50000</v>
      </c>
      <c r="G41" s="108">
        <v>45454.54</v>
      </c>
      <c r="H41" s="108" t="s">
        <v>8</v>
      </c>
      <c r="I41" s="111">
        <f t="shared" ref="I41:I44" si="10">+F41-E41</f>
        <v>45454.54</v>
      </c>
      <c r="J41" s="64"/>
      <c r="K41" s="64"/>
      <c r="L41" s="82">
        <f>+I41</f>
        <v>45454.54</v>
      </c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1"/>
      <c r="AC41" s="117">
        <f t="shared" si="4"/>
        <v>45454.54</v>
      </c>
      <c r="AD41" s="117">
        <f t="shared" si="5"/>
        <v>0</v>
      </c>
      <c r="AE41" s="66" t="s">
        <v>743</v>
      </c>
    </row>
    <row r="42" spans="1:31" ht="20.149999999999999" customHeight="1">
      <c r="A42" s="66" t="s">
        <v>743</v>
      </c>
      <c r="B42" s="61" t="s">
        <v>302</v>
      </c>
      <c r="C42" s="108" t="s">
        <v>156</v>
      </c>
      <c r="D42" s="108" t="s">
        <v>157</v>
      </c>
      <c r="E42" s="108">
        <v>4545.45</v>
      </c>
      <c r="F42" s="108">
        <v>50000</v>
      </c>
      <c r="G42" s="108">
        <v>45454.55</v>
      </c>
      <c r="H42" s="108" t="s">
        <v>8</v>
      </c>
      <c r="I42" s="111">
        <f t="shared" si="10"/>
        <v>45454.55</v>
      </c>
      <c r="J42" s="65">
        <v>45454.55</v>
      </c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1"/>
      <c r="AC42" s="117">
        <f t="shared" si="4"/>
        <v>45454.55</v>
      </c>
      <c r="AD42" s="117">
        <f t="shared" si="5"/>
        <v>0</v>
      </c>
      <c r="AE42" s="66" t="s">
        <v>743</v>
      </c>
    </row>
    <row r="43" spans="1:31" ht="20.149999999999999" customHeight="1">
      <c r="A43" s="66" t="s">
        <v>743</v>
      </c>
      <c r="B43" s="61" t="s">
        <v>303</v>
      </c>
      <c r="C43" s="108" t="s">
        <v>304</v>
      </c>
      <c r="D43" s="108" t="s">
        <v>305</v>
      </c>
      <c r="E43" s="108">
        <v>4545.45</v>
      </c>
      <c r="F43" s="108">
        <v>50000</v>
      </c>
      <c r="G43" s="108">
        <v>45454.55</v>
      </c>
      <c r="H43" s="108" t="s">
        <v>8</v>
      </c>
      <c r="I43" s="111">
        <f t="shared" si="10"/>
        <v>45454.55</v>
      </c>
      <c r="J43" s="65">
        <v>45454.55</v>
      </c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1"/>
      <c r="AC43" s="117">
        <f t="shared" si="4"/>
        <v>45454.55</v>
      </c>
      <c r="AD43" s="117">
        <f t="shared" si="5"/>
        <v>0</v>
      </c>
      <c r="AE43" s="66" t="s">
        <v>743</v>
      </c>
    </row>
    <row r="44" spans="1:31" ht="20.149999999999999" customHeight="1">
      <c r="A44" s="66" t="s">
        <v>743</v>
      </c>
      <c r="B44" s="61" t="s">
        <v>311</v>
      </c>
      <c r="C44" s="108" t="s">
        <v>87</v>
      </c>
      <c r="D44" s="108" t="s">
        <v>88</v>
      </c>
      <c r="E44" s="108">
        <v>4545.45</v>
      </c>
      <c r="F44" s="108">
        <v>50000</v>
      </c>
      <c r="G44" s="108">
        <v>45454.55</v>
      </c>
      <c r="H44" s="108" t="s">
        <v>8</v>
      </c>
      <c r="I44" s="111">
        <f t="shared" si="10"/>
        <v>45454.55</v>
      </c>
      <c r="J44" s="65">
        <v>45454.55</v>
      </c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1"/>
      <c r="AC44" s="117">
        <f t="shared" si="4"/>
        <v>45454.55</v>
      </c>
      <c r="AD44" s="117">
        <f t="shared" si="5"/>
        <v>0</v>
      </c>
      <c r="AE44" s="66" t="s">
        <v>743</v>
      </c>
    </row>
    <row r="45" spans="1:31" ht="20.149999999999999" customHeight="1">
      <c r="A45" s="66" t="s">
        <v>743</v>
      </c>
      <c r="B45" s="61" t="s">
        <v>320</v>
      </c>
      <c r="C45" s="108" t="s">
        <v>321</v>
      </c>
      <c r="D45" s="108" t="s">
        <v>322</v>
      </c>
      <c r="E45" s="108">
        <v>0</v>
      </c>
      <c r="F45" s="108">
        <v>50000</v>
      </c>
      <c r="G45" s="108">
        <v>50000</v>
      </c>
      <c r="H45" s="108" t="s">
        <v>55</v>
      </c>
      <c r="I45" s="111">
        <v>50000</v>
      </c>
      <c r="J45" s="64"/>
      <c r="K45" s="64"/>
      <c r="L45" s="64"/>
      <c r="M45" s="65">
        <v>50000</v>
      </c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1"/>
      <c r="AC45" s="117">
        <f t="shared" si="4"/>
        <v>50000</v>
      </c>
      <c r="AD45" s="117">
        <f t="shared" si="5"/>
        <v>0</v>
      </c>
      <c r="AE45" s="66" t="s">
        <v>743</v>
      </c>
    </row>
    <row r="46" spans="1:31" ht="20.149999999999999" customHeight="1">
      <c r="A46" s="66" t="s">
        <v>743</v>
      </c>
      <c r="B46" s="61" t="s">
        <v>320</v>
      </c>
      <c r="C46" s="108" t="s">
        <v>156</v>
      </c>
      <c r="D46" s="108" t="s">
        <v>157</v>
      </c>
      <c r="E46" s="108">
        <v>4545.45</v>
      </c>
      <c r="F46" s="108">
        <v>50000</v>
      </c>
      <c r="G46" s="108">
        <v>45454.55</v>
      </c>
      <c r="H46" s="108" t="s">
        <v>8</v>
      </c>
      <c r="I46" s="111">
        <f t="shared" ref="I46:I53" si="11">+F46-E46</f>
        <v>45454.55</v>
      </c>
      <c r="J46" s="65">
        <v>45454.55</v>
      </c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1"/>
      <c r="AC46" s="117">
        <f t="shared" si="4"/>
        <v>45454.55</v>
      </c>
      <c r="AD46" s="117">
        <f t="shared" si="5"/>
        <v>0</v>
      </c>
      <c r="AE46" s="66" t="s">
        <v>743</v>
      </c>
    </row>
    <row r="47" spans="1:31" ht="20.149999999999999" customHeight="1">
      <c r="A47" s="66" t="s">
        <v>743</v>
      </c>
      <c r="B47" s="61" t="s">
        <v>339</v>
      </c>
      <c r="C47" s="108" t="s">
        <v>156</v>
      </c>
      <c r="D47" s="108" t="s">
        <v>157</v>
      </c>
      <c r="E47" s="108">
        <v>4545.45</v>
      </c>
      <c r="F47" s="108">
        <v>50000</v>
      </c>
      <c r="G47" s="108">
        <v>45454.55</v>
      </c>
      <c r="H47" s="108" t="s">
        <v>8</v>
      </c>
      <c r="I47" s="111">
        <f t="shared" si="11"/>
        <v>45454.55</v>
      </c>
      <c r="J47" s="65">
        <v>45454.55</v>
      </c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1"/>
      <c r="AC47" s="117">
        <f t="shared" si="4"/>
        <v>45454.55</v>
      </c>
      <c r="AD47" s="117">
        <f t="shared" si="5"/>
        <v>0</v>
      </c>
      <c r="AE47" s="66" t="s">
        <v>743</v>
      </c>
    </row>
    <row r="48" spans="1:31" ht="20.149999999999999" customHeight="1">
      <c r="A48" s="66" t="s">
        <v>743</v>
      </c>
      <c r="B48" s="61" t="s">
        <v>255</v>
      </c>
      <c r="C48" s="108" t="s">
        <v>103</v>
      </c>
      <c r="D48" s="108" t="s">
        <v>104</v>
      </c>
      <c r="E48" s="108">
        <v>4819.97</v>
      </c>
      <c r="F48" s="108">
        <v>53100</v>
      </c>
      <c r="G48" s="108">
        <v>48280.03</v>
      </c>
      <c r="H48" s="108" t="s">
        <v>8</v>
      </c>
      <c r="I48" s="111">
        <f t="shared" si="11"/>
        <v>48280.03</v>
      </c>
      <c r="J48" s="64"/>
      <c r="K48" s="64"/>
      <c r="L48" s="82">
        <f>+I48</f>
        <v>48280.03</v>
      </c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1"/>
      <c r="AC48" s="117">
        <f t="shared" si="4"/>
        <v>48280.03</v>
      </c>
      <c r="AD48" s="117">
        <f t="shared" si="5"/>
        <v>0</v>
      </c>
      <c r="AE48" s="66" t="s">
        <v>743</v>
      </c>
    </row>
    <row r="49" spans="1:31" ht="20.149999999999999" customHeight="1">
      <c r="A49" s="66" t="s">
        <v>743</v>
      </c>
      <c r="B49" s="61" t="s">
        <v>311</v>
      </c>
      <c r="C49" s="108" t="s">
        <v>128</v>
      </c>
      <c r="D49" s="108" t="s">
        <v>129</v>
      </c>
      <c r="E49" s="108">
        <v>4981.82</v>
      </c>
      <c r="F49" s="108">
        <v>54799.99</v>
      </c>
      <c r="G49" s="108">
        <v>49818.17</v>
      </c>
      <c r="H49" s="108" t="s">
        <v>8</v>
      </c>
      <c r="I49" s="111">
        <f t="shared" si="11"/>
        <v>49818.17</v>
      </c>
      <c r="J49" s="65">
        <v>49818.17</v>
      </c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1"/>
      <c r="AC49" s="117">
        <f t="shared" si="4"/>
        <v>49818.17</v>
      </c>
      <c r="AD49" s="117">
        <f t="shared" si="5"/>
        <v>0</v>
      </c>
      <c r="AE49" s="66" t="s">
        <v>743</v>
      </c>
    </row>
    <row r="50" spans="1:31" ht="20.149999999999999" customHeight="1">
      <c r="A50" s="66" t="s">
        <v>743</v>
      </c>
      <c r="B50" s="61" t="s">
        <v>326</v>
      </c>
      <c r="C50" s="108" t="s">
        <v>140</v>
      </c>
      <c r="D50" s="108" t="s">
        <v>141</v>
      </c>
      <c r="E50" s="108">
        <v>0</v>
      </c>
      <c r="F50" s="108">
        <v>57900</v>
      </c>
      <c r="G50" s="108">
        <v>57900</v>
      </c>
      <c r="H50" s="108" t="s">
        <v>55</v>
      </c>
      <c r="I50" s="111">
        <f t="shared" si="11"/>
        <v>57900</v>
      </c>
      <c r="J50" s="64"/>
      <c r="K50" s="64"/>
      <c r="L50" s="64"/>
      <c r="M50" s="64"/>
      <c r="N50" s="82">
        <f>+I50</f>
        <v>57900</v>
      </c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1"/>
      <c r="AC50" s="117">
        <f t="shared" si="4"/>
        <v>57900</v>
      </c>
      <c r="AD50" s="117">
        <f t="shared" si="5"/>
        <v>0</v>
      </c>
      <c r="AE50" s="66" t="s">
        <v>743</v>
      </c>
    </row>
    <row r="51" spans="1:31" ht="20.149999999999999" customHeight="1">
      <c r="A51" s="66" t="s">
        <v>743</v>
      </c>
      <c r="B51" s="61" t="s">
        <v>263</v>
      </c>
      <c r="C51" s="108" t="s">
        <v>156</v>
      </c>
      <c r="D51" s="108" t="s">
        <v>157</v>
      </c>
      <c r="E51" s="108">
        <v>5454.55</v>
      </c>
      <c r="F51" s="108">
        <v>60000</v>
      </c>
      <c r="G51" s="108">
        <v>54545.45</v>
      </c>
      <c r="H51" s="108" t="s">
        <v>8</v>
      </c>
      <c r="I51" s="111">
        <f t="shared" si="11"/>
        <v>54545.45</v>
      </c>
      <c r="K51" s="64"/>
      <c r="L51" s="64"/>
      <c r="M51" s="64"/>
      <c r="N51" s="64"/>
      <c r="O51" s="82"/>
      <c r="P51" s="64"/>
      <c r="Q51" s="65">
        <v>54545.45</v>
      </c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1"/>
      <c r="AC51" s="117">
        <f t="shared" si="4"/>
        <v>54545.45</v>
      </c>
      <c r="AD51" s="117">
        <f t="shared" si="5"/>
        <v>0</v>
      </c>
      <c r="AE51" s="66" t="s">
        <v>743</v>
      </c>
    </row>
    <row r="52" spans="1:31" ht="20.149999999999999" customHeight="1">
      <c r="A52" s="66" t="s">
        <v>743</v>
      </c>
      <c r="B52" s="61" t="s">
        <v>290</v>
      </c>
      <c r="C52" s="108" t="s">
        <v>241</v>
      </c>
      <c r="D52" s="108" t="s">
        <v>242</v>
      </c>
      <c r="E52" s="108">
        <v>5500</v>
      </c>
      <c r="F52" s="108">
        <v>60500</v>
      </c>
      <c r="G52" s="108">
        <v>55000</v>
      </c>
      <c r="H52" s="108" t="s">
        <v>8</v>
      </c>
      <c r="I52" s="111">
        <f t="shared" si="11"/>
        <v>55000</v>
      </c>
      <c r="J52" s="65"/>
      <c r="K52" s="65"/>
      <c r="L52" s="65"/>
      <c r="M52" s="64"/>
      <c r="N52" s="64"/>
      <c r="O52" s="82">
        <f>+I52</f>
        <v>55000</v>
      </c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1"/>
      <c r="AC52" s="117">
        <f t="shared" si="4"/>
        <v>55000</v>
      </c>
      <c r="AD52" s="117">
        <f t="shared" si="5"/>
        <v>0</v>
      </c>
      <c r="AE52" s="66" t="s">
        <v>743</v>
      </c>
    </row>
    <row r="53" spans="1:31" ht="20.149999999999999" customHeight="1">
      <c r="A53" s="66" t="s">
        <v>743</v>
      </c>
      <c r="B53" s="61" t="s">
        <v>311</v>
      </c>
      <c r="C53" s="108" t="s">
        <v>318</v>
      </c>
      <c r="D53" s="108" t="s">
        <v>319</v>
      </c>
      <c r="E53" s="108">
        <v>5681.818182</v>
      </c>
      <c r="F53" s="108">
        <v>62500</v>
      </c>
      <c r="G53" s="108">
        <v>56818.181817999997</v>
      </c>
      <c r="H53" s="108" t="s">
        <v>8</v>
      </c>
      <c r="I53" s="111">
        <f t="shared" si="11"/>
        <v>56818.181817999997</v>
      </c>
      <c r="J53" s="82">
        <f>+I53</f>
        <v>56818.181817999997</v>
      </c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1"/>
      <c r="AC53" s="117">
        <f t="shared" si="4"/>
        <v>56818.181817999997</v>
      </c>
      <c r="AD53" s="117">
        <f t="shared" si="5"/>
        <v>0</v>
      </c>
      <c r="AE53" s="66" t="s">
        <v>743</v>
      </c>
    </row>
    <row r="54" spans="1:31" ht="20.149999999999999" customHeight="1">
      <c r="A54" s="66" t="s">
        <v>743</v>
      </c>
      <c r="B54" s="61" t="s">
        <v>240</v>
      </c>
      <c r="C54" s="108" t="s">
        <v>247</v>
      </c>
      <c r="D54" s="108" t="s">
        <v>248</v>
      </c>
      <c r="E54" s="108">
        <v>6102.73</v>
      </c>
      <c r="F54" s="108">
        <v>67130</v>
      </c>
      <c r="G54" s="108">
        <v>61027.270000000004</v>
      </c>
      <c r="H54" s="108" t="s">
        <v>8</v>
      </c>
      <c r="I54" s="111">
        <v>67130</v>
      </c>
      <c r="J54" s="64"/>
      <c r="K54" s="64"/>
      <c r="L54" s="65">
        <v>67130</v>
      </c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1"/>
      <c r="AC54" s="117">
        <f t="shared" si="4"/>
        <v>67130</v>
      </c>
      <c r="AD54" s="117">
        <f t="shared" si="5"/>
        <v>0</v>
      </c>
      <c r="AE54" s="66" t="s">
        <v>743</v>
      </c>
    </row>
    <row r="55" spans="1:31" ht="20.149999999999999" customHeight="1">
      <c r="A55" s="66" t="s">
        <v>743</v>
      </c>
      <c r="B55" s="61" t="s">
        <v>338</v>
      </c>
      <c r="C55" s="108" t="s">
        <v>97</v>
      </c>
      <c r="D55" s="108" t="s">
        <v>98</v>
      </c>
      <c r="E55" s="108">
        <v>6363.64</v>
      </c>
      <c r="F55" s="108">
        <v>70000</v>
      </c>
      <c r="G55" s="108">
        <v>63636.36</v>
      </c>
      <c r="H55" s="108" t="s">
        <v>8</v>
      </c>
      <c r="I55" s="111">
        <f t="shared" ref="I55:I58" si="12">+F55-E55</f>
        <v>63636.36</v>
      </c>
      <c r="J55" s="64"/>
      <c r="K55" s="64"/>
      <c r="L55" s="64"/>
      <c r="M55" s="64"/>
      <c r="N55" s="64"/>
      <c r="O55" s="64"/>
      <c r="P55" s="82">
        <f>+I55</f>
        <v>63636.36</v>
      </c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1"/>
      <c r="AC55" s="117">
        <f t="shared" si="4"/>
        <v>63636.36</v>
      </c>
      <c r="AD55" s="117">
        <f t="shared" si="5"/>
        <v>0</v>
      </c>
      <c r="AE55" s="66" t="s">
        <v>743</v>
      </c>
    </row>
    <row r="56" spans="1:31" ht="20.149999999999999" customHeight="1">
      <c r="A56" s="66" t="s">
        <v>743</v>
      </c>
      <c r="B56" s="61" t="s">
        <v>338</v>
      </c>
      <c r="C56" s="108" t="s">
        <v>249</v>
      </c>
      <c r="D56" s="108" t="s">
        <v>250</v>
      </c>
      <c r="E56" s="108">
        <v>6500</v>
      </c>
      <c r="F56" s="108">
        <v>71500</v>
      </c>
      <c r="G56" s="108">
        <v>65000</v>
      </c>
      <c r="H56" s="108" t="s">
        <v>8</v>
      </c>
      <c r="I56" s="111">
        <f t="shared" si="12"/>
        <v>65000</v>
      </c>
      <c r="J56" s="64"/>
      <c r="K56" s="64"/>
      <c r="L56" s="64"/>
      <c r="M56" s="64"/>
      <c r="N56" s="64"/>
      <c r="O56" s="64"/>
      <c r="P56" s="65">
        <v>65000</v>
      </c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1"/>
      <c r="AC56" s="117">
        <f t="shared" si="4"/>
        <v>65000</v>
      </c>
      <c r="AD56" s="117">
        <f t="shared" si="5"/>
        <v>0</v>
      </c>
      <c r="AE56" s="66" t="s">
        <v>743</v>
      </c>
    </row>
    <row r="57" spans="1:31" ht="20.149999999999999" customHeight="1">
      <c r="B57" s="119"/>
      <c r="C57" s="120" t="s">
        <v>762</v>
      </c>
      <c r="D57" s="124" t="s">
        <v>744</v>
      </c>
      <c r="E57" s="120" t="s">
        <v>763</v>
      </c>
      <c r="F57" s="120" t="s">
        <v>764</v>
      </c>
      <c r="G57" s="120">
        <v>1</v>
      </c>
      <c r="H57" s="120" t="s">
        <v>515</v>
      </c>
      <c r="I57" s="121">
        <v>76486</v>
      </c>
      <c r="J57" s="125">
        <f>+I57</f>
        <v>76486</v>
      </c>
      <c r="K57" s="83"/>
      <c r="L57" s="122"/>
      <c r="M57" s="83"/>
      <c r="N57" s="122"/>
      <c r="O57" s="83"/>
      <c r="P57" s="83"/>
      <c r="Q57" s="122"/>
      <c r="R57" s="122"/>
      <c r="S57" s="122"/>
      <c r="T57" s="83"/>
      <c r="U57" s="123"/>
      <c r="V57" s="83"/>
      <c r="W57" s="122"/>
      <c r="X57" s="122"/>
      <c r="Y57" s="122"/>
      <c r="Z57" s="122"/>
      <c r="AA57" s="122"/>
      <c r="AC57" s="117">
        <f t="shared" si="4"/>
        <v>76486</v>
      </c>
      <c r="AD57" s="117">
        <f t="shared" si="5"/>
        <v>0</v>
      </c>
    </row>
    <row r="58" spans="1:31" ht="20.149999999999999" customHeight="1">
      <c r="A58" s="66" t="s">
        <v>743</v>
      </c>
      <c r="B58" s="61" t="s">
        <v>268</v>
      </c>
      <c r="C58" s="108" t="s">
        <v>156</v>
      </c>
      <c r="D58" s="108" t="s">
        <v>157</v>
      </c>
      <c r="E58" s="108">
        <v>6981.82</v>
      </c>
      <c r="F58" s="108">
        <v>76800</v>
      </c>
      <c r="G58" s="108">
        <v>69818.179999999993</v>
      </c>
      <c r="H58" s="108" t="s">
        <v>8</v>
      </c>
      <c r="I58" s="111">
        <f t="shared" si="12"/>
        <v>69818.179999999993</v>
      </c>
      <c r="K58" s="64"/>
      <c r="L58" s="64"/>
      <c r="M58" s="64"/>
      <c r="N58" s="64"/>
      <c r="O58" s="64"/>
      <c r="P58" s="64"/>
      <c r="Q58" s="65">
        <v>69818.179999999993</v>
      </c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1"/>
      <c r="AC58" s="117">
        <f t="shared" si="4"/>
        <v>69818.179999999993</v>
      </c>
      <c r="AD58" s="117">
        <f t="shared" si="5"/>
        <v>0</v>
      </c>
      <c r="AE58" s="66" t="s">
        <v>743</v>
      </c>
    </row>
    <row r="59" spans="1:31" ht="20.149999999999999" customHeight="1">
      <c r="B59" s="119"/>
      <c r="C59" s="120" t="s">
        <v>765</v>
      </c>
      <c r="D59" s="120" t="s">
        <v>766</v>
      </c>
      <c r="E59" s="120" t="s">
        <v>767</v>
      </c>
      <c r="F59" s="120" t="s">
        <v>768</v>
      </c>
      <c r="G59" s="120">
        <v>1</v>
      </c>
      <c r="H59" s="120" t="s">
        <v>515</v>
      </c>
      <c r="I59" s="121">
        <v>80000</v>
      </c>
      <c r="J59" s="83"/>
      <c r="K59" s="83"/>
      <c r="L59" s="122"/>
      <c r="M59" s="83"/>
      <c r="N59" s="122"/>
      <c r="O59" s="83"/>
      <c r="P59" s="83">
        <v>80000</v>
      </c>
      <c r="Q59" s="122"/>
      <c r="R59" s="122"/>
      <c r="S59" s="122"/>
      <c r="T59" s="83"/>
      <c r="U59" s="123"/>
      <c r="V59" s="83"/>
      <c r="W59" s="122"/>
      <c r="X59" s="122"/>
      <c r="Y59" s="122"/>
      <c r="Z59" s="122"/>
      <c r="AA59" s="122"/>
      <c r="AC59" s="117">
        <f t="shared" si="4"/>
        <v>80000</v>
      </c>
      <c r="AD59" s="117">
        <f t="shared" si="5"/>
        <v>0</v>
      </c>
    </row>
    <row r="60" spans="1:31">
      <c r="A60" s="66" t="s">
        <v>743</v>
      </c>
      <c r="B60" s="64" t="s">
        <v>292</v>
      </c>
      <c r="C60" s="64" t="s">
        <v>116</v>
      </c>
      <c r="D60" s="64" t="s">
        <v>117</v>
      </c>
      <c r="E60" s="64">
        <v>0</v>
      </c>
      <c r="F60" s="64">
        <v>80000</v>
      </c>
      <c r="G60" s="64">
        <v>80000</v>
      </c>
      <c r="H60" s="64" t="s">
        <v>55</v>
      </c>
      <c r="I60" s="81">
        <v>80000</v>
      </c>
      <c r="J60" s="64"/>
      <c r="K60" s="64"/>
      <c r="L60" s="65">
        <v>80000</v>
      </c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117">
        <f t="shared" si="4"/>
        <v>80000</v>
      </c>
      <c r="AD60" s="117">
        <f t="shared" si="5"/>
        <v>0</v>
      </c>
      <c r="AE60" s="66" t="s">
        <v>743</v>
      </c>
    </row>
    <row r="61" spans="1:31">
      <c r="A61" s="66" t="s">
        <v>743</v>
      </c>
      <c r="B61" s="64" t="s">
        <v>338</v>
      </c>
      <c r="C61" s="64" t="s">
        <v>103</v>
      </c>
      <c r="D61" s="64" t="s">
        <v>104</v>
      </c>
      <c r="E61" s="64">
        <v>7347.24</v>
      </c>
      <c r="F61" s="64">
        <v>80900</v>
      </c>
      <c r="G61" s="64">
        <v>73552.759999999995</v>
      </c>
      <c r="H61" s="64" t="s">
        <v>8</v>
      </c>
      <c r="I61" s="111">
        <f t="shared" ref="I61:I64" si="13">+F61-E61</f>
        <v>73552.759999999995</v>
      </c>
      <c r="J61" s="64"/>
      <c r="K61" s="64"/>
      <c r="L61" s="82">
        <f>+I61</f>
        <v>73552.759999999995</v>
      </c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117">
        <f t="shared" si="4"/>
        <v>73552.759999999995</v>
      </c>
      <c r="AD61" s="117">
        <f t="shared" si="5"/>
        <v>0</v>
      </c>
      <c r="AE61" s="66" t="s">
        <v>743</v>
      </c>
    </row>
    <row r="62" spans="1:31">
      <c r="A62" s="66" t="s">
        <v>743</v>
      </c>
      <c r="B62" s="64" t="s">
        <v>342</v>
      </c>
      <c r="C62" s="64" t="s">
        <v>10</v>
      </c>
      <c r="D62" s="64" t="s">
        <v>11</v>
      </c>
      <c r="E62" s="64">
        <v>7386.73</v>
      </c>
      <c r="F62" s="64">
        <v>81254</v>
      </c>
      <c r="G62" s="64">
        <v>73867.27</v>
      </c>
      <c r="H62" s="64" t="s">
        <v>8</v>
      </c>
      <c r="I62" s="111">
        <f t="shared" si="13"/>
        <v>73867.27</v>
      </c>
      <c r="J62" s="65">
        <v>73867.27</v>
      </c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117">
        <f t="shared" si="4"/>
        <v>73867.27</v>
      </c>
      <c r="AD62" s="117">
        <f t="shared" si="5"/>
        <v>0</v>
      </c>
      <c r="AE62" s="66" t="s">
        <v>743</v>
      </c>
    </row>
    <row r="63" spans="1:31">
      <c r="A63" s="66" t="s">
        <v>743</v>
      </c>
      <c r="B63" s="64" t="s">
        <v>326</v>
      </c>
      <c r="C63" s="64" t="s">
        <v>316</v>
      </c>
      <c r="D63" s="64" t="s">
        <v>317</v>
      </c>
      <c r="E63" s="64">
        <v>7681.82</v>
      </c>
      <c r="F63" s="64">
        <v>84500</v>
      </c>
      <c r="G63" s="64">
        <v>76818.179999999993</v>
      </c>
      <c r="H63" s="64" t="s">
        <v>8</v>
      </c>
      <c r="I63" s="111">
        <f t="shared" si="13"/>
        <v>76818.179999999993</v>
      </c>
      <c r="J63" s="64"/>
      <c r="K63" s="64"/>
      <c r="L63" s="82">
        <f>+I63</f>
        <v>76818.179999999993</v>
      </c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117">
        <f t="shared" si="4"/>
        <v>76818.179999999993</v>
      </c>
      <c r="AD63" s="117">
        <f t="shared" si="5"/>
        <v>0</v>
      </c>
      <c r="AE63" s="66" t="s">
        <v>743</v>
      </c>
    </row>
    <row r="64" spans="1:31">
      <c r="A64" s="66" t="s">
        <v>743</v>
      </c>
      <c r="B64" s="64" t="s">
        <v>295</v>
      </c>
      <c r="C64" s="64" t="s">
        <v>296</v>
      </c>
      <c r="D64" s="64" t="s">
        <v>297</v>
      </c>
      <c r="E64" s="64">
        <v>7981.818182</v>
      </c>
      <c r="F64" s="64">
        <v>87800</v>
      </c>
      <c r="G64" s="64">
        <v>79818.181817999997</v>
      </c>
      <c r="H64" s="64" t="s">
        <v>8</v>
      </c>
      <c r="I64" s="111">
        <f t="shared" si="13"/>
        <v>79818.181817999997</v>
      </c>
      <c r="J64" s="64"/>
      <c r="K64" s="64"/>
      <c r="L64" s="82">
        <f>+I64</f>
        <v>79818.181817999997</v>
      </c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117">
        <f t="shared" si="4"/>
        <v>79818.181817999997</v>
      </c>
      <c r="AD64" s="117">
        <f t="shared" si="5"/>
        <v>0</v>
      </c>
      <c r="AE64" s="66" t="s">
        <v>743</v>
      </c>
    </row>
    <row r="65" spans="1:31" ht="31.5">
      <c r="B65" s="126"/>
      <c r="C65" s="127" t="s">
        <v>769</v>
      </c>
      <c r="D65" s="127" t="s">
        <v>770</v>
      </c>
      <c r="E65" s="127" t="s">
        <v>771</v>
      </c>
      <c r="F65" s="127" t="s">
        <v>772</v>
      </c>
      <c r="G65" s="127">
        <v>1</v>
      </c>
      <c r="H65" s="127" t="s">
        <v>515</v>
      </c>
      <c r="I65" s="128">
        <v>90800</v>
      </c>
      <c r="J65" s="83"/>
      <c r="K65" s="83"/>
      <c r="L65" s="122"/>
      <c r="M65" s="83"/>
      <c r="N65" s="122"/>
      <c r="O65" s="83"/>
      <c r="P65" s="83"/>
      <c r="Q65" s="122">
        <v>90800</v>
      </c>
      <c r="R65" s="122"/>
      <c r="S65" s="122"/>
      <c r="T65" s="83"/>
      <c r="U65" s="123"/>
      <c r="V65" s="83"/>
      <c r="W65" s="122"/>
      <c r="X65" s="122"/>
      <c r="Y65" s="122"/>
      <c r="Z65" s="122"/>
      <c r="AA65" s="122"/>
      <c r="AB65" s="83"/>
      <c r="AC65" s="117">
        <f t="shared" si="4"/>
        <v>90800</v>
      </c>
      <c r="AD65" s="117">
        <f t="shared" si="5"/>
        <v>0</v>
      </c>
    </row>
    <row r="66" spans="1:31">
      <c r="A66" s="66" t="s">
        <v>743</v>
      </c>
      <c r="B66" s="64" t="s">
        <v>311</v>
      </c>
      <c r="C66" s="64" t="s">
        <v>316</v>
      </c>
      <c r="D66" s="64" t="s">
        <v>317</v>
      </c>
      <c r="E66" s="64">
        <v>8509.09</v>
      </c>
      <c r="F66" s="64">
        <v>93600</v>
      </c>
      <c r="G66" s="64">
        <v>85090.91</v>
      </c>
      <c r="H66" s="64" t="s">
        <v>8</v>
      </c>
      <c r="I66" s="111">
        <f t="shared" ref="I66:I67" si="14">+F66-E66</f>
        <v>85090.91</v>
      </c>
      <c r="J66" s="64"/>
      <c r="K66" s="64"/>
      <c r="L66" s="82">
        <f>+I66</f>
        <v>85090.91</v>
      </c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117">
        <f t="shared" si="4"/>
        <v>85090.91</v>
      </c>
      <c r="AD66" s="117">
        <f t="shared" si="5"/>
        <v>0</v>
      </c>
      <c r="AE66" s="66" t="s">
        <v>743</v>
      </c>
    </row>
    <row r="67" spans="1:31">
      <c r="A67" s="66" t="s">
        <v>743</v>
      </c>
      <c r="B67" s="64" t="s">
        <v>310</v>
      </c>
      <c r="C67" s="64" t="s">
        <v>149</v>
      </c>
      <c r="D67" s="64" t="s">
        <v>150</v>
      </c>
      <c r="E67" s="64">
        <v>8675.1623380000001</v>
      </c>
      <c r="F67" s="64">
        <v>95600</v>
      </c>
      <c r="G67" s="64">
        <v>86924.837662000005</v>
      </c>
      <c r="H67" s="64" t="s">
        <v>8</v>
      </c>
      <c r="I67" s="111">
        <f t="shared" si="14"/>
        <v>86924.837662000005</v>
      </c>
      <c r="J67" s="64"/>
      <c r="K67" s="64"/>
      <c r="L67" s="65">
        <v>86924.837662000005</v>
      </c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117">
        <f t="shared" si="4"/>
        <v>86924.837662000005</v>
      </c>
      <c r="AD67" s="117">
        <f t="shared" si="5"/>
        <v>0</v>
      </c>
      <c r="AE67" s="66" t="s">
        <v>743</v>
      </c>
    </row>
    <row r="68" spans="1:31">
      <c r="A68" s="66" t="s">
        <v>743</v>
      </c>
      <c r="B68" s="64" t="s">
        <v>302</v>
      </c>
      <c r="C68" s="64" t="s">
        <v>116</v>
      </c>
      <c r="D68" s="64" t="s">
        <v>117</v>
      </c>
      <c r="E68" s="64">
        <v>0</v>
      </c>
      <c r="F68" s="64">
        <v>99000</v>
      </c>
      <c r="G68" s="64">
        <v>99000</v>
      </c>
      <c r="H68" s="64" t="s">
        <v>55</v>
      </c>
      <c r="I68" s="81">
        <v>99000</v>
      </c>
      <c r="J68" s="65">
        <v>99000</v>
      </c>
      <c r="K68" s="64"/>
      <c r="L68" s="64"/>
      <c r="M68" s="64"/>
      <c r="N68" s="82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117">
        <f t="shared" si="4"/>
        <v>99000</v>
      </c>
      <c r="AD68" s="117">
        <f t="shared" si="5"/>
        <v>0</v>
      </c>
      <c r="AE68" s="66" t="s">
        <v>743</v>
      </c>
    </row>
    <row r="69" spans="1:31" ht="31.5">
      <c r="B69" s="126"/>
      <c r="C69" s="127" t="s">
        <v>773</v>
      </c>
      <c r="D69" s="129" t="s">
        <v>745</v>
      </c>
      <c r="E69" s="130" t="s">
        <v>774</v>
      </c>
      <c r="F69" s="130" t="s">
        <v>775</v>
      </c>
      <c r="G69" s="130">
        <v>1</v>
      </c>
      <c r="H69" s="130" t="s">
        <v>515</v>
      </c>
      <c r="I69" s="131">
        <v>100000</v>
      </c>
      <c r="J69" s="125">
        <f>+I69</f>
        <v>100000</v>
      </c>
      <c r="K69" s="83"/>
      <c r="L69" s="122"/>
      <c r="M69" s="83"/>
      <c r="N69" s="122"/>
      <c r="O69" s="83"/>
      <c r="P69" s="83"/>
      <c r="Q69" s="122"/>
      <c r="R69" s="122"/>
      <c r="S69" s="122"/>
      <c r="T69" s="83"/>
      <c r="U69" s="123"/>
      <c r="V69" s="122"/>
      <c r="W69" s="122"/>
      <c r="X69" s="122"/>
      <c r="Y69" s="122"/>
      <c r="Z69" s="122"/>
      <c r="AA69" s="122"/>
      <c r="AB69" s="83"/>
      <c r="AC69" s="117">
        <f t="shared" si="4"/>
        <v>100000</v>
      </c>
      <c r="AD69" s="117">
        <f t="shared" si="5"/>
        <v>0</v>
      </c>
    </row>
    <row r="70" spans="1:31" ht="31.5">
      <c r="B70" s="126"/>
      <c r="C70" s="127" t="s">
        <v>776</v>
      </c>
      <c r="D70" s="127" t="s">
        <v>777</v>
      </c>
      <c r="E70" s="127" t="s">
        <v>774</v>
      </c>
      <c r="F70" s="127" t="s">
        <v>775</v>
      </c>
      <c r="G70" s="127">
        <v>1</v>
      </c>
      <c r="H70" s="127" t="s">
        <v>515</v>
      </c>
      <c r="I70" s="128">
        <v>100000</v>
      </c>
      <c r="J70" s="83">
        <v>100000</v>
      </c>
      <c r="K70" s="83"/>
      <c r="L70" s="122"/>
      <c r="M70" s="83"/>
      <c r="N70" s="122"/>
      <c r="O70" s="83"/>
      <c r="P70" s="83"/>
      <c r="Q70" s="122"/>
      <c r="R70" s="122"/>
      <c r="S70" s="122"/>
      <c r="T70" s="83"/>
      <c r="U70" s="123"/>
      <c r="V70" s="122"/>
      <c r="W70" s="122"/>
      <c r="X70" s="122"/>
      <c r="Y70" s="122"/>
      <c r="Z70" s="122"/>
      <c r="AA70" s="122"/>
      <c r="AB70" s="83"/>
      <c r="AC70" s="117">
        <f t="shared" si="4"/>
        <v>100000</v>
      </c>
      <c r="AD70" s="117">
        <f t="shared" si="5"/>
        <v>0</v>
      </c>
    </row>
    <row r="71" spans="1:31">
      <c r="A71" s="66" t="s">
        <v>743</v>
      </c>
      <c r="B71" s="64" t="s">
        <v>278</v>
      </c>
      <c r="C71" s="64" t="s">
        <v>279</v>
      </c>
      <c r="D71" s="64" t="s">
        <v>280</v>
      </c>
      <c r="E71" s="64">
        <v>9090.91</v>
      </c>
      <c r="F71" s="64">
        <v>100000</v>
      </c>
      <c r="G71" s="64">
        <v>90909.09</v>
      </c>
      <c r="H71" s="64" t="s">
        <v>8</v>
      </c>
      <c r="I71" s="111">
        <f t="shared" ref="I71:I78" si="15">+F71-E71</f>
        <v>90909.09</v>
      </c>
      <c r="J71" s="82">
        <v>90909.09</v>
      </c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117">
        <f t="shared" si="4"/>
        <v>90909.09</v>
      </c>
      <c r="AD71" s="117">
        <f t="shared" si="5"/>
        <v>0</v>
      </c>
      <c r="AE71" s="66" t="s">
        <v>743</v>
      </c>
    </row>
    <row r="72" spans="1:31">
      <c r="A72" s="66" t="s">
        <v>743</v>
      </c>
      <c r="B72" s="64" t="s">
        <v>282</v>
      </c>
      <c r="C72" s="64" t="s">
        <v>283</v>
      </c>
      <c r="D72" s="64" t="s">
        <v>284</v>
      </c>
      <c r="E72" s="64">
        <v>9090.91</v>
      </c>
      <c r="F72" s="64">
        <v>100000</v>
      </c>
      <c r="G72" s="64">
        <v>90909.09</v>
      </c>
      <c r="H72" s="64" t="s">
        <v>8</v>
      </c>
      <c r="I72" s="111">
        <f t="shared" si="15"/>
        <v>90909.09</v>
      </c>
      <c r="J72" s="65">
        <v>90909.09</v>
      </c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117">
        <f t="shared" si="4"/>
        <v>90909.09</v>
      </c>
      <c r="AD72" s="117">
        <f t="shared" si="5"/>
        <v>0</v>
      </c>
      <c r="AE72" s="66" t="s">
        <v>743</v>
      </c>
    </row>
    <row r="73" spans="1:31">
      <c r="A73" s="66" t="s">
        <v>743</v>
      </c>
      <c r="B73" s="64" t="s">
        <v>290</v>
      </c>
      <c r="C73" s="64" t="s">
        <v>87</v>
      </c>
      <c r="D73" s="64" t="s">
        <v>88</v>
      </c>
      <c r="E73" s="64">
        <v>9090.91</v>
      </c>
      <c r="F73" s="64">
        <v>100000</v>
      </c>
      <c r="G73" s="64">
        <v>90909.09</v>
      </c>
      <c r="H73" s="64" t="s">
        <v>8</v>
      </c>
      <c r="I73" s="111">
        <f t="shared" si="15"/>
        <v>90909.09</v>
      </c>
      <c r="J73" s="82">
        <v>90909.09</v>
      </c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117">
        <f t="shared" si="4"/>
        <v>90909.09</v>
      </c>
      <c r="AD73" s="117">
        <f t="shared" si="5"/>
        <v>0</v>
      </c>
      <c r="AE73" s="66" t="s">
        <v>743</v>
      </c>
    </row>
    <row r="74" spans="1:31">
      <c r="A74" s="66" t="s">
        <v>743</v>
      </c>
      <c r="B74" s="64" t="s">
        <v>310</v>
      </c>
      <c r="C74" s="64" t="s">
        <v>156</v>
      </c>
      <c r="D74" s="64" t="s">
        <v>157</v>
      </c>
      <c r="E74" s="64">
        <v>9090.91</v>
      </c>
      <c r="F74" s="64">
        <v>100000</v>
      </c>
      <c r="G74" s="64">
        <v>90909.09</v>
      </c>
      <c r="H74" s="64" t="s">
        <v>8</v>
      </c>
      <c r="I74" s="111">
        <f t="shared" si="15"/>
        <v>90909.09</v>
      </c>
      <c r="J74" s="65">
        <v>90909.09</v>
      </c>
      <c r="K74" s="64"/>
      <c r="L74" s="64"/>
      <c r="M74" s="64"/>
      <c r="N74" s="65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117">
        <f t="shared" si="4"/>
        <v>90909.09</v>
      </c>
      <c r="AD74" s="117">
        <f t="shared" si="5"/>
        <v>0</v>
      </c>
      <c r="AE74" s="66" t="s">
        <v>743</v>
      </c>
    </row>
    <row r="75" spans="1:31">
      <c r="A75" s="66" t="s">
        <v>743</v>
      </c>
      <c r="B75" s="64" t="s">
        <v>310</v>
      </c>
      <c r="C75" s="64" t="s">
        <v>156</v>
      </c>
      <c r="D75" s="64" t="s">
        <v>157</v>
      </c>
      <c r="E75" s="64">
        <v>9090.91</v>
      </c>
      <c r="F75" s="64">
        <v>100000</v>
      </c>
      <c r="G75" s="64">
        <v>90909.09</v>
      </c>
      <c r="H75" s="64" t="s">
        <v>8</v>
      </c>
      <c r="I75" s="111">
        <f t="shared" si="15"/>
        <v>90909.09</v>
      </c>
      <c r="J75" s="65">
        <v>90909.09</v>
      </c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117">
        <f t="shared" ref="AC75:AC138" si="16">SUM(J75:AB75)</f>
        <v>90909.09</v>
      </c>
      <c r="AD75" s="117">
        <f t="shared" ref="AD75:AD138" si="17">+AC75-I75</f>
        <v>0</v>
      </c>
      <c r="AE75" s="66" t="s">
        <v>743</v>
      </c>
    </row>
    <row r="76" spans="1:31">
      <c r="A76" s="66" t="s">
        <v>743</v>
      </c>
      <c r="B76" s="64" t="s">
        <v>311</v>
      </c>
      <c r="C76" s="64" t="s">
        <v>316</v>
      </c>
      <c r="D76" s="64" t="s">
        <v>317</v>
      </c>
      <c r="E76" s="64">
        <v>9381.82</v>
      </c>
      <c r="F76" s="64">
        <v>103200</v>
      </c>
      <c r="G76" s="64">
        <v>93818.18</v>
      </c>
      <c r="H76" s="64" t="s">
        <v>8</v>
      </c>
      <c r="I76" s="111">
        <f t="shared" si="15"/>
        <v>93818.18</v>
      </c>
      <c r="J76" s="64"/>
      <c r="K76" s="64"/>
      <c r="L76" s="82">
        <f>+I76</f>
        <v>93818.18</v>
      </c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117">
        <f t="shared" si="16"/>
        <v>93818.18</v>
      </c>
      <c r="AD76" s="117">
        <f t="shared" si="17"/>
        <v>0</v>
      </c>
      <c r="AE76" s="66" t="s">
        <v>743</v>
      </c>
    </row>
    <row r="77" spans="1:31">
      <c r="A77" s="66" t="s">
        <v>743</v>
      </c>
      <c r="B77" s="64" t="s">
        <v>281</v>
      </c>
      <c r="C77" s="64" t="s">
        <v>78</v>
      </c>
      <c r="D77" s="64" t="s">
        <v>79</v>
      </c>
      <c r="E77" s="64">
        <v>9445.4500000000007</v>
      </c>
      <c r="F77" s="64">
        <v>103900</v>
      </c>
      <c r="G77" s="64">
        <v>94454.55</v>
      </c>
      <c r="H77" s="64" t="s">
        <v>8</v>
      </c>
      <c r="I77" s="111">
        <f t="shared" si="15"/>
        <v>94454.55</v>
      </c>
      <c r="J77" s="82"/>
      <c r="K77" s="64"/>
      <c r="L77" s="65">
        <v>94454.55</v>
      </c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117">
        <f t="shared" si="16"/>
        <v>94454.55</v>
      </c>
      <c r="AD77" s="117">
        <f t="shared" si="17"/>
        <v>0</v>
      </c>
      <c r="AE77" s="66" t="s">
        <v>743</v>
      </c>
    </row>
    <row r="78" spans="1:31">
      <c r="A78" s="66" t="s">
        <v>743</v>
      </c>
      <c r="B78" s="64" t="s">
        <v>295</v>
      </c>
      <c r="C78" s="64" t="s">
        <v>298</v>
      </c>
      <c r="D78" s="64" t="s">
        <v>299</v>
      </c>
      <c r="E78" s="64">
        <v>10309.91</v>
      </c>
      <c r="F78" s="64">
        <v>113409</v>
      </c>
      <c r="G78" s="64">
        <v>103099.09</v>
      </c>
      <c r="H78" s="64" t="s">
        <v>8</v>
      </c>
      <c r="I78" s="111">
        <f t="shared" si="15"/>
        <v>103099.09</v>
      </c>
      <c r="J78" s="65">
        <v>103099.09</v>
      </c>
      <c r="K78" s="64"/>
      <c r="L78" s="82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117">
        <f t="shared" si="16"/>
        <v>103099.09</v>
      </c>
      <c r="AD78" s="117">
        <f t="shared" si="17"/>
        <v>0</v>
      </c>
      <c r="AE78" s="66" t="s">
        <v>743</v>
      </c>
    </row>
    <row r="79" spans="1:31" ht="31.5">
      <c r="B79" s="126"/>
      <c r="C79" s="127" t="s">
        <v>778</v>
      </c>
      <c r="D79" s="127" t="s">
        <v>779</v>
      </c>
      <c r="E79" s="127" t="s">
        <v>780</v>
      </c>
      <c r="F79" s="127" t="s">
        <v>781</v>
      </c>
      <c r="G79" s="127">
        <v>1</v>
      </c>
      <c r="H79" s="127" t="s">
        <v>515</v>
      </c>
      <c r="I79" s="128">
        <v>120000</v>
      </c>
      <c r="J79" s="83">
        <v>120000</v>
      </c>
      <c r="K79" s="83"/>
      <c r="L79" s="122"/>
      <c r="M79" s="83"/>
      <c r="N79" s="122"/>
      <c r="O79" s="83"/>
      <c r="P79" s="83"/>
      <c r="Q79" s="122"/>
      <c r="R79" s="122"/>
      <c r="S79" s="122"/>
      <c r="T79" s="83"/>
      <c r="U79" s="123"/>
      <c r="V79" s="83"/>
      <c r="W79" s="122"/>
      <c r="X79" s="122"/>
      <c r="Y79" s="122"/>
      <c r="Z79" s="122"/>
      <c r="AA79" s="122"/>
      <c r="AB79" s="83"/>
      <c r="AC79" s="117">
        <f t="shared" si="16"/>
        <v>120000</v>
      </c>
      <c r="AD79" s="117">
        <f t="shared" si="17"/>
        <v>0</v>
      </c>
    </row>
    <row r="80" spans="1:31">
      <c r="A80" s="66" t="s">
        <v>743</v>
      </c>
      <c r="B80" s="64" t="s">
        <v>281</v>
      </c>
      <c r="C80" s="64" t="s">
        <v>241</v>
      </c>
      <c r="D80" s="64" t="s">
        <v>242</v>
      </c>
      <c r="E80" s="64">
        <v>11200</v>
      </c>
      <c r="F80" s="64">
        <v>123200</v>
      </c>
      <c r="G80" s="64">
        <v>112000</v>
      </c>
      <c r="H80" s="64" t="s">
        <v>8</v>
      </c>
      <c r="I80" s="111">
        <f t="shared" ref="I80:I82" si="18">+F80-E80</f>
        <v>112000</v>
      </c>
      <c r="J80" s="64"/>
      <c r="K80" s="64"/>
      <c r="L80" s="64"/>
      <c r="M80" s="64"/>
      <c r="N80" s="64"/>
      <c r="O80" s="82">
        <f>+I80</f>
        <v>112000</v>
      </c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117">
        <f t="shared" si="16"/>
        <v>112000</v>
      </c>
      <c r="AD80" s="117">
        <f t="shared" si="17"/>
        <v>0</v>
      </c>
      <c r="AE80" s="66" t="s">
        <v>743</v>
      </c>
    </row>
    <row r="81" spans="1:31">
      <c r="A81" s="66" t="s">
        <v>743</v>
      </c>
      <c r="B81" s="64" t="s">
        <v>338</v>
      </c>
      <c r="C81" s="64" t="s">
        <v>89</v>
      </c>
      <c r="D81" s="64" t="s">
        <v>90</v>
      </c>
      <c r="E81" s="64">
        <v>11232.142857000001</v>
      </c>
      <c r="F81" s="64">
        <v>125800</v>
      </c>
      <c r="G81" s="64">
        <v>114567.857143</v>
      </c>
      <c r="H81" s="64" t="s">
        <v>8</v>
      </c>
      <c r="I81" s="111">
        <f t="shared" si="18"/>
        <v>114567.857143</v>
      </c>
      <c r="J81" s="65">
        <v>114567.857143</v>
      </c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117">
        <f t="shared" si="16"/>
        <v>114567.857143</v>
      </c>
      <c r="AD81" s="117">
        <f t="shared" si="17"/>
        <v>0</v>
      </c>
      <c r="AE81" s="66" t="s">
        <v>743</v>
      </c>
    </row>
    <row r="82" spans="1:31">
      <c r="A82" s="66" t="s">
        <v>743</v>
      </c>
      <c r="B82" s="64" t="s">
        <v>306</v>
      </c>
      <c r="C82" s="64" t="s">
        <v>287</v>
      </c>
      <c r="D82" s="64" t="s">
        <v>288</v>
      </c>
      <c r="E82" s="64">
        <v>11527.27</v>
      </c>
      <c r="F82" s="64">
        <v>126800</v>
      </c>
      <c r="G82" s="64">
        <v>115272.73</v>
      </c>
      <c r="H82" s="64" t="s">
        <v>8</v>
      </c>
      <c r="I82" s="111">
        <f t="shared" si="18"/>
        <v>115272.73</v>
      </c>
      <c r="J82" s="65"/>
      <c r="K82" s="64"/>
      <c r="L82" s="82">
        <f>+I82</f>
        <v>115272.73</v>
      </c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117">
        <f t="shared" si="16"/>
        <v>115272.73</v>
      </c>
      <c r="AD82" s="117">
        <f t="shared" si="17"/>
        <v>0</v>
      </c>
      <c r="AE82" s="66" t="s">
        <v>743</v>
      </c>
    </row>
    <row r="83" spans="1:31" ht="31.5">
      <c r="B83" s="126"/>
      <c r="C83" s="127" t="s">
        <v>782</v>
      </c>
      <c r="D83" s="127" t="s">
        <v>783</v>
      </c>
      <c r="E83" s="127" t="s">
        <v>784</v>
      </c>
      <c r="F83" s="127" t="s">
        <v>785</v>
      </c>
      <c r="G83" s="127">
        <v>1</v>
      </c>
      <c r="H83" s="127" t="s">
        <v>515</v>
      </c>
      <c r="I83" s="128">
        <v>134100</v>
      </c>
      <c r="J83" s="83"/>
      <c r="K83" s="83"/>
      <c r="L83" s="122"/>
      <c r="M83" s="83"/>
      <c r="N83" s="122">
        <v>134100</v>
      </c>
      <c r="O83" s="83"/>
      <c r="P83" s="83"/>
      <c r="Q83" s="122"/>
      <c r="R83" s="122"/>
      <c r="S83" s="122"/>
      <c r="T83" s="83"/>
      <c r="U83" s="123"/>
      <c r="V83" s="83"/>
      <c r="W83" s="122"/>
      <c r="X83" s="122"/>
      <c r="Y83" s="122"/>
      <c r="Z83" s="122"/>
      <c r="AA83" s="122"/>
      <c r="AB83" s="83"/>
      <c r="AC83" s="117">
        <f t="shared" si="16"/>
        <v>134100</v>
      </c>
      <c r="AD83" s="117">
        <f t="shared" si="17"/>
        <v>0</v>
      </c>
    </row>
    <row r="84" spans="1:31" ht="31.5">
      <c r="B84" s="126"/>
      <c r="C84" s="127" t="s">
        <v>786</v>
      </c>
      <c r="D84" s="127" t="s">
        <v>787</v>
      </c>
      <c r="E84" s="127" t="s">
        <v>788</v>
      </c>
      <c r="F84" s="127" t="s">
        <v>789</v>
      </c>
      <c r="G84" s="127">
        <v>1</v>
      </c>
      <c r="H84" s="127" t="s">
        <v>515</v>
      </c>
      <c r="I84" s="128">
        <v>144700</v>
      </c>
      <c r="J84" s="83"/>
      <c r="K84" s="83"/>
      <c r="L84" s="122">
        <v>144700</v>
      </c>
      <c r="M84" s="83"/>
      <c r="N84" s="122"/>
      <c r="O84" s="83"/>
      <c r="P84" s="83"/>
      <c r="Q84" s="122"/>
      <c r="R84" s="122"/>
      <c r="S84" s="122"/>
      <c r="T84" s="83"/>
      <c r="U84" s="123"/>
      <c r="V84" s="83"/>
      <c r="W84" s="122"/>
      <c r="X84" s="122"/>
      <c r="Y84" s="122"/>
      <c r="Z84" s="122"/>
      <c r="AA84" s="122"/>
      <c r="AB84" s="83"/>
      <c r="AC84" s="117">
        <f t="shared" si="16"/>
        <v>144700</v>
      </c>
      <c r="AD84" s="117">
        <f t="shared" si="17"/>
        <v>0</v>
      </c>
    </row>
    <row r="85" spans="1:31">
      <c r="A85" s="66" t="s">
        <v>743</v>
      </c>
      <c r="B85" s="64" t="s">
        <v>268</v>
      </c>
      <c r="C85" s="64" t="s">
        <v>269</v>
      </c>
      <c r="D85" s="64" t="s">
        <v>270</v>
      </c>
      <c r="E85" s="64">
        <v>13473.21</v>
      </c>
      <c r="F85" s="64">
        <v>150900</v>
      </c>
      <c r="G85" s="64">
        <v>137426.79</v>
      </c>
      <c r="H85" s="64" t="s">
        <v>8</v>
      </c>
      <c r="I85" s="111">
        <f t="shared" ref="I85:I86" si="19">+F85-E85</f>
        <v>137426.79</v>
      </c>
      <c r="J85" s="64"/>
      <c r="K85" s="82"/>
      <c r="L85" s="64"/>
      <c r="M85" s="64"/>
      <c r="N85" s="64"/>
      <c r="O85" s="64"/>
      <c r="P85" s="82">
        <f>+I85</f>
        <v>137426.79</v>
      </c>
      <c r="Q85" s="64"/>
      <c r="R85" s="65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117">
        <f t="shared" si="16"/>
        <v>137426.79</v>
      </c>
      <c r="AD85" s="117">
        <f t="shared" si="17"/>
        <v>0</v>
      </c>
      <c r="AE85" s="66" t="s">
        <v>743</v>
      </c>
    </row>
    <row r="86" spans="1:31">
      <c r="A86" s="66" t="s">
        <v>743</v>
      </c>
      <c r="B86" s="64" t="s">
        <v>323</v>
      </c>
      <c r="C86" s="64" t="s">
        <v>324</v>
      </c>
      <c r="D86" s="64" t="s">
        <v>325</v>
      </c>
      <c r="E86" s="64">
        <v>13728.18</v>
      </c>
      <c r="F86" s="64">
        <v>151010</v>
      </c>
      <c r="G86" s="64">
        <v>137281.82</v>
      </c>
      <c r="H86" s="64" t="s">
        <v>8</v>
      </c>
      <c r="I86" s="111">
        <f t="shared" si="19"/>
        <v>137281.82</v>
      </c>
      <c r="J86" s="65">
        <v>137281.82</v>
      </c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117">
        <f t="shared" si="16"/>
        <v>137281.82</v>
      </c>
      <c r="AD86" s="117">
        <f t="shared" si="17"/>
        <v>0</v>
      </c>
      <c r="AE86" s="66" t="s">
        <v>743</v>
      </c>
    </row>
    <row r="87" spans="1:31">
      <c r="A87" s="66" t="s">
        <v>743</v>
      </c>
      <c r="B87" s="64" t="s">
        <v>278</v>
      </c>
      <c r="C87" s="64" t="s">
        <v>64</v>
      </c>
      <c r="D87" s="64" t="s">
        <v>65</v>
      </c>
      <c r="E87" s="64">
        <v>0</v>
      </c>
      <c r="F87" s="64">
        <v>154899.82999999999</v>
      </c>
      <c r="G87" s="64">
        <v>154899.82999999999</v>
      </c>
      <c r="H87" s="64" t="s">
        <v>55</v>
      </c>
      <c r="I87" s="81">
        <v>154899.82999999999</v>
      </c>
      <c r="J87" s="82"/>
      <c r="K87" s="65">
        <v>154899.82999999999</v>
      </c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117">
        <f t="shared" si="16"/>
        <v>154899.82999999999</v>
      </c>
      <c r="AD87" s="117">
        <f t="shared" si="17"/>
        <v>0</v>
      </c>
      <c r="AE87" s="66" t="s">
        <v>743</v>
      </c>
    </row>
    <row r="88" spans="1:31">
      <c r="A88" s="66" t="s">
        <v>743</v>
      </c>
      <c r="B88" s="64" t="s">
        <v>268</v>
      </c>
      <c r="C88" s="64" t="s">
        <v>10</v>
      </c>
      <c r="D88" s="64" t="s">
        <v>11</v>
      </c>
      <c r="E88" s="64">
        <v>14121.91</v>
      </c>
      <c r="F88" s="64">
        <v>155341</v>
      </c>
      <c r="G88" s="64">
        <v>141219.09</v>
      </c>
      <c r="H88" s="64" t="s">
        <v>8</v>
      </c>
      <c r="I88" s="111">
        <f t="shared" ref="I88:I94" si="20">+F88-E88</f>
        <v>141219.09</v>
      </c>
      <c r="J88" s="82">
        <v>141219.09</v>
      </c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117">
        <f t="shared" si="16"/>
        <v>141219.09</v>
      </c>
      <c r="AD88" s="117">
        <f t="shared" si="17"/>
        <v>0</v>
      </c>
      <c r="AE88" s="66" t="s">
        <v>743</v>
      </c>
    </row>
    <row r="89" spans="1:31">
      <c r="A89" s="66" t="s">
        <v>743</v>
      </c>
      <c r="B89" s="64" t="s">
        <v>326</v>
      </c>
      <c r="C89" s="64" t="s">
        <v>206</v>
      </c>
      <c r="D89" s="64" t="s">
        <v>207</v>
      </c>
      <c r="E89" s="64">
        <v>14295.45</v>
      </c>
      <c r="F89" s="64">
        <v>157250</v>
      </c>
      <c r="G89" s="64">
        <v>142954.54999999999</v>
      </c>
      <c r="H89" s="64" t="s">
        <v>8</v>
      </c>
      <c r="I89" s="111">
        <f t="shared" si="20"/>
        <v>142954.54999999999</v>
      </c>
      <c r="J89" s="65">
        <v>142954.54999999999</v>
      </c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117">
        <f t="shared" si="16"/>
        <v>142954.54999999999</v>
      </c>
      <c r="AD89" s="117">
        <f t="shared" si="17"/>
        <v>0</v>
      </c>
      <c r="AE89" s="66" t="s">
        <v>743</v>
      </c>
    </row>
    <row r="90" spans="1:31">
      <c r="A90" s="66" t="s">
        <v>743</v>
      </c>
      <c r="B90" s="64" t="s">
        <v>291</v>
      </c>
      <c r="C90" s="64" t="s">
        <v>87</v>
      </c>
      <c r="D90" s="64" t="s">
        <v>88</v>
      </c>
      <c r="E90" s="64">
        <v>14463.64</v>
      </c>
      <c r="F90" s="64">
        <v>159100</v>
      </c>
      <c r="G90" s="64">
        <v>144636.35999999999</v>
      </c>
      <c r="H90" s="64" t="s">
        <v>8</v>
      </c>
      <c r="I90" s="111">
        <f t="shared" si="20"/>
        <v>144636.35999999999</v>
      </c>
      <c r="J90" s="82">
        <v>144636.35999999999</v>
      </c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117">
        <f t="shared" si="16"/>
        <v>144636.35999999999</v>
      </c>
      <c r="AD90" s="117">
        <f t="shared" si="17"/>
        <v>0</v>
      </c>
      <c r="AE90" s="66" t="s">
        <v>743</v>
      </c>
    </row>
    <row r="91" spans="1:31">
      <c r="A91" s="66" t="s">
        <v>743</v>
      </c>
      <c r="B91" s="64" t="s">
        <v>292</v>
      </c>
      <c r="C91" s="64" t="s">
        <v>293</v>
      </c>
      <c r="D91" s="64" t="s">
        <v>294</v>
      </c>
      <c r="E91" s="64">
        <v>0</v>
      </c>
      <c r="F91" s="64">
        <v>160000</v>
      </c>
      <c r="G91" s="64">
        <v>160000</v>
      </c>
      <c r="H91" s="64" t="s">
        <v>8</v>
      </c>
      <c r="I91" s="111">
        <f t="shared" si="20"/>
        <v>160000</v>
      </c>
      <c r="J91" s="64"/>
      <c r="K91" s="65"/>
      <c r="L91" s="82">
        <f>+I91</f>
        <v>160000</v>
      </c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117">
        <f t="shared" si="16"/>
        <v>160000</v>
      </c>
      <c r="AD91" s="117">
        <f t="shared" si="17"/>
        <v>0</v>
      </c>
      <c r="AE91" s="66" t="s">
        <v>743</v>
      </c>
    </row>
    <row r="92" spans="1:31">
      <c r="A92" s="66" t="s">
        <v>743</v>
      </c>
      <c r="B92" s="64" t="s">
        <v>275</v>
      </c>
      <c r="C92" s="64" t="s">
        <v>276</v>
      </c>
      <c r="D92" s="64" t="s">
        <v>277</v>
      </c>
      <c r="E92" s="64">
        <v>15000</v>
      </c>
      <c r="F92" s="64">
        <v>165000</v>
      </c>
      <c r="G92" s="64">
        <v>150000</v>
      </c>
      <c r="H92" s="64" t="s">
        <v>8</v>
      </c>
      <c r="I92" s="111">
        <f t="shared" si="20"/>
        <v>150000</v>
      </c>
      <c r="J92" s="64"/>
      <c r="K92" s="64"/>
      <c r="L92" s="64"/>
      <c r="M92" s="64"/>
      <c r="N92" s="64"/>
      <c r="O92" s="64"/>
      <c r="P92" s="82">
        <f>+I92</f>
        <v>150000</v>
      </c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117">
        <f t="shared" si="16"/>
        <v>150000</v>
      </c>
      <c r="AD92" s="117">
        <f t="shared" si="17"/>
        <v>0</v>
      </c>
      <c r="AE92" s="66" t="s">
        <v>743</v>
      </c>
    </row>
    <row r="93" spans="1:31">
      <c r="A93" s="66" t="s">
        <v>743</v>
      </c>
      <c r="B93" s="64" t="s">
        <v>263</v>
      </c>
      <c r="C93" s="64" t="s">
        <v>264</v>
      </c>
      <c r="D93" s="64" t="s">
        <v>265</v>
      </c>
      <c r="E93" s="64">
        <v>16284.090909</v>
      </c>
      <c r="F93" s="64">
        <v>179125</v>
      </c>
      <c r="G93" s="64">
        <v>162840.90909100001</v>
      </c>
      <c r="H93" s="64" t="s">
        <v>8</v>
      </c>
      <c r="I93" s="111">
        <f t="shared" si="20"/>
        <v>162840.90909100001</v>
      </c>
      <c r="J93" s="65">
        <v>162840.90909100001</v>
      </c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117">
        <f t="shared" si="16"/>
        <v>162840.90909100001</v>
      </c>
      <c r="AD93" s="117">
        <f t="shared" si="17"/>
        <v>0</v>
      </c>
      <c r="AE93" s="66" t="s">
        <v>743</v>
      </c>
    </row>
    <row r="94" spans="1:31">
      <c r="A94" s="66" t="s">
        <v>743</v>
      </c>
      <c r="B94" s="64" t="s">
        <v>289</v>
      </c>
      <c r="C94" s="64" t="s">
        <v>99</v>
      </c>
      <c r="D94" s="64" t="s">
        <v>100</v>
      </c>
      <c r="E94" s="64">
        <v>16714.29</v>
      </c>
      <c r="F94" s="64">
        <v>187200</v>
      </c>
      <c r="G94" s="64">
        <v>170485.71</v>
      </c>
      <c r="H94" s="64" t="s">
        <v>8</v>
      </c>
      <c r="I94" s="111">
        <f t="shared" si="20"/>
        <v>170485.71</v>
      </c>
      <c r="J94" s="82"/>
      <c r="K94" s="64"/>
      <c r="L94" s="82">
        <f>+I94</f>
        <v>170485.71</v>
      </c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117">
        <f t="shared" si="16"/>
        <v>170485.71</v>
      </c>
      <c r="AD94" s="117">
        <f t="shared" si="17"/>
        <v>0</v>
      </c>
      <c r="AE94" s="66" t="s">
        <v>743</v>
      </c>
    </row>
    <row r="95" spans="1:31" ht="42">
      <c r="B95" s="126"/>
      <c r="C95" s="127" t="s">
        <v>790</v>
      </c>
      <c r="D95" s="127" t="s">
        <v>791</v>
      </c>
      <c r="E95" s="127" t="s">
        <v>792</v>
      </c>
      <c r="F95" s="127" t="s">
        <v>793</v>
      </c>
      <c r="G95" s="127">
        <v>1</v>
      </c>
      <c r="H95" s="127" t="s">
        <v>515</v>
      </c>
      <c r="I95" s="128">
        <v>200000</v>
      </c>
      <c r="J95" s="83">
        <v>200000</v>
      </c>
      <c r="K95" s="83"/>
      <c r="L95" s="122"/>
      <c r="M95" s="83"/>
      <c r="N95" s="122"/>
      <c r="O95" s="83"/>
      <c r="P95" s="83"/>
      <c r="Q95" s="122"/>
      <c r="R95" s="122"/>
      <c r="S95" s="122"/>
      <c r="T95" s="83"/>
      <c r="U95" s="123"/>
      <c r="V95" s="83"/>
      <c r="W95" s="122"/>
      <c r="X95" s="122"/>
      <c r="Y95" s="122"/>
      <c r="Z95" s="122"/>
      <c r="AA95" s="122"/>
      <c r="AB95" s="83"/>
      <c r="AC95" s="117">
        <f t="shared" si="16"/>
        <v>200000</v>
      </c>
      <c r="AD95" s="117">
        <f t="shared" si="17"/>
        <v>0</v>
      </c>
    </row>
    <row r="96" spans="1:31" ht="42">
      <c r="B96" s="126"/>
      <c r="C96" s="127" t="s">
        <v>794</v>
      </c>
      <c r="D96" s="127" t="s">
        <v>795</v>
      </c>
      <c r="E96" s="127" t="s">
        <v>774</v>
      </c>
      <c r="F96" s="127" t="s">
        <v>775</v>
      </c>
      <c r="G96" s="127">
        <v>1</v>
      </c>
      <c r="H96" s="127" t="s">
        <v>515</v>
      </c>
      <c r="I96" s="128">
        <v>200000</v>
      </c>
      <c r="J96" s="83"/>
      <c r="K96" s="83"/>
      <c r="L96" s="122">
        <v>200000</v>
      </c>
      <c r="M96" s="83"/>
      <c r="N96" s="122"/>
      <c r="O96" s="83"/>
      <c r="P96" s="83"/>
      <c r="Q96" s="122"/>
      <c r="R96" s="122"/>
      <c r="S96" s="122"/>
      <c r="T96" s="83"/>
      <c r="U96" s="123"/>
      <c r="V96" s="122"/>
      <c r="W96" s="122"/>
      <c r="X96" s="122"/>
      <c r="Y96" s="122"/>
      <c r="Z96" s="122"/>
      <c r="AA96" s="122"/>
      <c r="AB96" s="83"/>
      <c r="AC96" s="117">
        <f t="shared" si="16"/>
        <v>200000</v>
      </c>
      <c r="AD96" s="117">
        <f t="shared" si="17"/>
        <v>0</v>
      </c>
    </row>
    <row r="97" spans="1:31">
      <c r="A97" s="66" t="s">
        <v>743</v>
      </c>
      <c r="B97" s="64" t="s">
        <v>326</v>
      </c>
      <c r="C97" s="64" t="s">
        <v>87</v>
      </c>
      <c r="D97" s="64" t="s">
        <v>88</v>
      </c>
      <c r="E97" s="64">
        <v>19792.91</v>
      </c>
      <c r="F97" s="64">
        <v>217722</v>
      </c>
      <c r="G97" s="64">
        <v>197929.09</v>
      </c>
      <c r="H97" s="64" t="s">
        <v>8</v>
      </c>
      <c r="I97" s="111">
        <f>+F97-E97</f>
        <v>197929.09</v>
      </c>
      <c r="J97" s="65">
        <v>197929.09</v>
      </c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117">
        <f t="shared" si="16"/>
        <v>197929.09</v>
      </c>
      <c r="AD97" s="117">
        <f t="shared" si="17"/>
        <v>0</v>
      </c>
      <c r="AE97" s="66" t="s">
        <v>743</v>
      </c>
    </row>
    <row r="98" spans="1:31">
      <c r="A98" s="66" t="s">
        <v>743</v>
      </c>
      <c r="B98" s="64" t="s">
        <v>260</v>
      </c>
      <c r="C98" s="64" t="s">
        <v>261</v>
      </c>
      <c r="D98" s="64" t="s">
        <v>262</v>
      </c>
      <c r="E98" s="64">
        <v>23545.454545000001</v>
      </c>
      <c r="F98" s="64">
        <v>259000</v>
      </c>
      <c r="G98" s="64">
        <v>235454.54545500001</v>
      </c>
      <c r="H98" s="64" t="s">
        <v>8</v>
      </c>
      <c r="I98" s="81">
        <v>259000</v>
      </c>
      <c r="J98" s="65"/>
      <c r="K98" s="64"/>
      <c r="L98" s="64"/>
      <c r="M98" s="64"/>
      <c r="N98" s="64"/>
      <c r="O98" s="64"/>
      <c r="P98" s="64">
        <v>259000</v>
      </c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117">
        <f t="shared" si="16"/>
        <v>259000</v>
      </c>
      <c r="AD98" s="117">
        <f t="shared" si="17"/>
        <v>0</v>
      </c>
      <c r="AE98" s="66" t="s">
        <v>743</v>
      </c>
    </row>
    <row r="99" spans="1:31">
      <c r="A99" s="66" t="s">
        <v>743</v>
      </c>
      <c r="B99" s="64" t="s">
        <v>311</v>
      </c>
      <c r="C99" s="64" t="s">
        <v>312</v>
      </c>
      <c r="D99" s="64" t="s">
        <v>313</v>
      </c>
      <c r="E99" s="64">
        <v>23636.363635999998</v>
      </c>
      <c r="F99" s="64">
        <v>260000</v>
      </c>
      <c r="G99" s="64">
        <v>236363.63636400001</v>
      </c>
      <c r="H99" s="64" t="s">
        <v>8</v>
      </c>
      <c r="I99" s="111">
        <f t="shared" ref="I99:I102" si="21">+F99-E99</f>
        <v>236363.63636400001</v>
      </c>
      <c r="J99" s="82">
        <f>+I99</f>
        <v>236363.63636400001</v>
      </c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117">
        <f t="shared" si="16"/>
        <v>236363.63636400001</v>
      </c>
      <c r="AD99" s="117">
        <f t="shared" si="17"/>
        <v>0</v>
      </c>
      <c r="AE99" s="66" t="s">
        <v>743</v>
      </c>
    </row>
    <row r="100" spans="1:31">
      <c r="A100" s="66" t="s">
        <v>743</v>
      </c>
      <c r="B100" s="64" t="s">
        <v>240</v>
      </c>
      <c r="C100" s="64" t="s">
        <v>243</v>
      </c>
      <c r="D100" s="64" t="s">
        <v>244</v>
      </c>
      <c r="E100" s="64">
        <v>24000</v>
      </c>
      <c r="F100" s="64">
        <v>264000</v>
      </c>
      <c r="G100" s="64">
        <v>240000</v>
      </c>
      <c r="H100" s="64" t="s">
        <v>8</v>
      </c>
      <c r="I100" s="111">
        <f t="shared" si="21"/>
        <v>240000</v>
      </c>
      <c r="J100" s="64"/>
      <c r="K100" s="64"/>
      <c r="L100" s="64"/>
      <c r="M100" s="64"/>
      <c r="N100" s="64"/>
      <c r="O100" s="64"/>
      <c r="P100" s="65">
        <v>240000</v>
      </c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117">
        <f t="shared" si="16"/>
        <v>240000</v>
      </c>
      <c r="AD100" s="117">
        <f t="shared" si="17"/>
        <v>0</v>
      </c>
      <c r="AE100" s="66" t="s">
        <v>743</v>
      </c>
    </row>
    <row r="101" spans="1:31">
      <c r="A101" s="66" t="s">
        <v>743</v>
      </c>
      <c r="B101" s="64" t="s">
        <v>311</v>
      </c>
      <c r="C101" s="64" t="s">
        <v>314</v>
      </c>
      <c r="D101" s="64" t="s">
        <v>315</v>
      </c>
      <c r="E101" s="64">
        <v>24481.818181999999</v>
      </c>
      <c r="F101" s="64">
        <v>269300</v>
      </c>
      <c r="G101" s="64">
        <v>244818.18181800001</v>
      </c>
      <c r="H101" s="64" t="s">
        <v>8</v>
      </c>
      <c r="I101" s="111">
        <f t="shared" si="21"/>
        <v>244818.18181800001</v>
      </c>
      <c r="J101" s="64"/>
      <c r="K101" s="64"/>
      <c r="L101" s="82">
        <f>+I101</f>
        <v>244818.18181800001</v>
      </c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117">
        <f t="shared" si="16"/>
        <v>244818.18181800001</v>
      </c>
      <c r="AD101" s="117">
        <f t="shared" si="17"/>
        <v>0</v>
      </c>
      <c r="AE101" s="66" t="s">
        <v>743</v>
      </c>
    </row>
    <row r="102" spans="1:31">
      <c r="A102" s="66" t="s">
        <v>743</v>
      </c>
      <c r="B102" s="64" t="s">
        <v>339</v>
      </c>
      <c r="C102" s="64" t="s">
        <v>340</v>
      </c>
      <c r="D102" s="64" t="s">
        <v>341</v>
      </c>
      <c r="E102" s="64">
        <v>24490.91</v>
      </c>
      <c r="F102" s="64">
        <v>269400</v>
      </c>
      <c r="G102" s="64">
        <v>244909.09</v>
      </c>
      <c r="H102" s="64" t="s">
        <v>8</v>
      </c>
      <c r="I102" s="111">
        <f t="shared" si="21"/>
        <v>244909.09</v>
      </c>
      <c r="J102" s="64"/>
      <c r="K102" s="64"/>
      <c r="L102" s="64"/>
      <c r="M102" s="64"/>
      <c r="N102" s="82">
        <f>+I102</f>
        <v>244909.09</v>
      </c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117">
        <f t="shared" si="16"/>
        <v>244909.09</v>
      </c>
      <c r="AD102" s="117">
        <f t="shared" si="17"/>
        <v>0</v>
      </c>
      <c r="AE102" s="66" t="s">
        <v>743</v>
      </c>
    </row>
    <row r="103" spans="1:31" ht="31.5">
      <c r="B103" s="126"/>
      <c r="C103" s="127" t="s">
        <v>796</v>
      </c>
      <c r="D103" s="127" t="s">
        <v>797</v>
      </c>
      <c r="E103" s="127" t="s">
        <v>798</v>
      </c>
      <c r="F103" s="127" t="s">
        <v>799</v>
      </c>
      <c r="G103" s="127">
        <v>1</v>
      </c>
      <c r="H103" s="127" t="s">
        <v>515</v>
      </c>
      <c r="I103" s="128">
        <v>285600</v>
      </c>
      <c r="J103" s="83"/>
      <c r="K103" s="83"/>
      <c r="L103" s="122">
        <v>285600</v>
      </c>
      <c r="M103" s="83"/>
      <c r="N103" s="122"/>
      <c r="O103" s="83"/>
      <c r="P103" s="83"/>
      <c r="Q103" s="122"/>
      <c r="R103" s="122"/>
      <c r="S103" s="122"/>
      <c r="T103" s="83"/>
      <c r="U103" s="123"/>
      <c r="V103" s="83"/>
      <c r="W103" s="122"/>
      <c r="X103" s="122"/>
      <c r="Y103" s="122"/>
      <c r="Z103" s="122"/>
      <c r="AA103" s="122"/>
      <c r="AB103" s="83"/>
      <c r="AC103" s="117">
        <f t="shared" si="16"/>
        <v>285600</v>
      </c>
      <c r="AD103" s="117">
        <f t="shared" si="17"/>
        <v>0</v>
      </c>
    </row>
    <row r="104" spans="1:31" ht="31.5">
      <c r="B104" s="126"/>
      <c r="C104" s="127" t="s">
        <v>800</v>
      </c>
      <c r="D104" s="127" t="s">
        <v>801</v>
      </c>
      <c r="E104" s="127" t="s">
        <v>802</v>
      </c>
      <c r="F104" s="127" t="s">
        <v>803</v>
      </c>
      <c r="G104" s="127">
        <v>1</v>
      </c>
      <c r="H104" s="127" t="s">
        <v>515</v>
      </c>
      <c r="I104" s="128">
        <v>287500</v>
      </c>
      <c r="J104" s="83"/>
      <c r="K104" s="83"/>
      <c r="L104" s="122">
        <v>287500</v>
      </c>
      <c r="M104" s="83"/>
      <c r="N104" s="122"/>
      <c r="O104" s="83"/>
      <c r="P104" s="83"/>
      <c r="Q104" s="122"/>
      <c r="R104" s="122"/>
      <c r="S104" s="122"/>
      <c r="T104" s="83"/>
      <c r="U104" s="123"/>
      <c r="V104" s="83"/>
      <c r="W104" s="122"/>
      <c r="X104" s="122"/>
      <c r="Y104" s="122"/>
      <c r="Z104" s="122"/>
      <c r="AA104" s="122"/>
      <c r="AB104" s="83"/>
      <c r="AC104" s="117">
        <f t="shared" si="16"/>
        <v>287500</v>
      </c>
      <c r="AD104" s="117">
        <f t="shared" si="17"/>
        <v>0</v>
      </c>
    </row>
    <row r="105" spans="1:31">
      <c r="A105" s="66" t="s">
        <v>743</v>
      </c>
      <c r="B105" s="64" t="s">
        <v>290</v>
      </c>
      <c r="C105" s="64" t="s">
        <v>241</v>
      </c>
      <c r="D105" s="64" t="s">
        <v>242</v>
      </c>
      <c r="E105" s="64">
        <v>28000</v>
      </c>
      <c r="F105" s="64">
        <v>308000</v>
      </c>
      <c r="G105" s="64">
        <v>280000</v>
      </c>
      <c r="H105" s="64" t="s">
        <v>8</v>
      </c>
      <c r="I105" s="111">
        <f t="shared" ref="I105:I106" si="22">+F105-E105</f>
        <v>280000</v>
      </c>
      <c r="J105" s="65"/>
      <c r="K105" s="64"/>
      <c r="L105" s="64"/>
      <c r="M105" s="64"/>
      <c r="N105" s="82"/>
      <c r="O105" s="82">
        <f>+I105</f>
        <v>280000</v>
      </c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117">
        <f t="shared" si="16"/>
        <v>280000</v>
      </c>
      <c r="AD105" s="117">
        <f t="shared" si="17"/>
        <v>0</v>
      </c>
      <c r="AE105" s="66" t="s">
        <v>743</v>
      </c>
    </row>
    <row r="106" spans="1:31">
      <c r="A106" s="66" t="s">
        <v>743</v>
      </c>
      <c r="B106" s="64" t="s">
        <v>268</v>
      </c>
      <c r="C106" s="64" t="s">
        <v>271</v>
      </c>
      <c r="D106" s="64" t="s">
        <v>272</v>
      </c>
      <c r="E106" s="64">
        <v>29090.909091000001</v>
      </c>
      <c r="F106" s="64">
        <v>320000</v>
      </c>
      <c r="G106" s="64">
        <v>290909.09090900002</v>
      </c>
      <c r="H106" s="64" t="s">
        <v>8</v>
      </c>
      <c r="I106" s="111">
        <f t="shared" si="22"/>
        <v>290909.09090900002</v>
      </c>
      <c r="J106" s="64"/>
      <c r="K106" s="64"/>
      <c r="L106" s="64"/>
      <c r="M106" s="64"/>
      <c r="N106" s="65"/>
      <c r="O106" s="64"/>
      <c r="P106" s="65">
        <v>290909.09090900002</v>
      </c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117">
        <f t="shared" si="16"/>
        <v>290909.09090900002</v>
      </c>
      <c r="AD106" s="117">
        <f t="shared" si="17"/>
        <v>0</v>
      </c>
      <c r="AE106" s="66" t="s">
        <v>743</v>
      </c>
    </row>
    <row r="107" spans="1:31">
      <c r="A107" s="66" t="s">
        <v>743</v>
      </c>
      <c r="B107" s="64" t="s">
        <v>320</v>
      </c>
      <c r="C107" s="64" t="s">
        <v>321</v>
      </c>
      <c r="D107" s="64" t="s">
        <v>322</v>
      </c>
      <c r="E107" s="64">
        <v>0</v>
      </c>
      <c r="F107" s="64">
        <v>320000</v>
      </c>
      <c r="G107" s="64">
        <v>320000</v>
      </c>
      <c r="H107" s="64" t="s">
        <v>55</v>
      </c>
      <c r="I107" s="81">
        <v>320000</v>
      </c>
      <c r="J107" s="64"/>
      <c r="K107" s="64"/>
      <c r="L107" s="64"/>
      <c r="M107" s="65">
        <v>320000</v>
      </c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117">
        <f t="shared" si="16"/>
        <v>320000</v>
      </c>
      <c r="AD107" s="117">
        <f t="shared" si="17"/>
        <v>0</v>
      </c>
      <c r="AE107" s="66" t="s">
        <v>743</v>
      </c>
    </row>
    <row r="108" spans="1:31">
      <c r="A108" s="66" t="s">
        <v>743</v>
      </c>
      <c r="B108" s="64" t="s">
        <v>240</v>
      </c>
      <c r="C108" s="64" t="s">
        <v>241</v>
      </c>
      <c r="D108" s="64" t="s">
        <v>242</v>
      </c>
      <c r="E108" s="64">
        <v>30400</v>
      </c>
      <c r="F108" s="64">
        <v>334400</v>
      </c>
      <c r="G108" s="64">
        <v>304000</v>
      </c>
      <c r="H108" s="64" t="s">
        <v>8</v>
      </c>
      <c r="I108" s="111">
        <f t="shared" ref="I108:I111" si="23">+F108-E108</f>
        <v>304000</v>
      </c>
      <c r="J108" s="65"/>
      <c r="K108" s="64"/>
      <c r="L108" s="64"/>
      <c r="M108" s="64"/>
      <c r="N108" s="64"/>
      <c r="O108" s="82">
        <f>+I108</f>
        <v>304000</v>
      </c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117">
        <f t="shared" si="16"/>
        <v>304000</v>
      </c>
      <c r="AD108" s="117">
        <f t="shared" si="17"/>
        <v>0</v>
      </c>
      <c r="AE108" s="66" t="s">
        <v>743</v>
      </c>
    </row>
    <row r="109" spans="1:31">
      <c r="A109" s="66" t="s">
        <v>743</v>
      </c>
      <c r="B109" s="64" t="s">
        <v>342</v>
      </c>
      <c r="C109" s="64" t="s">
        <v>308</v>
      </c>
      <c r="D109" s="64" t="s">
        <v>309</v>
      </c>
      <c r="E109" s="64">
        <v>35062.5</v>
      </c>
      <c r="F109" s="64">
        <v>392700</v>
      </c>
      <c r="G109" s="64">
        <v>357637.5</v>
      </c>
      <c r="H109" s="64" t="s">
        <v>8</v>
      </c>
      <c r="I109" s="111">
        <f t="shared" si="23"/>
        <v>357637.5</v>
      </c>
      <c r="J109" s="82">
        <f>+I109</f>
        <v>357637.5</v>
      </c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117">
        <f t="shared" si="16"/>
        <v>357637.5</v>
      </c>
      <c r="AD109" s="117">
        <f t="shared" si="17"/>
        <v>0</v>
      </c>
      <c r="AE109" s="66" t="s">
        <v>743</v>
      </c>
    </row>
    <row r="110" spans="1:31">
      <c r="A110" s="66" t="s">
        <v>743</v>
      </c>
      <c r="B110" s="64" t="s">
        <v>281</v>
      </c>
      <c r="C110" s="64" t="s">
        <v>241</v>
      </c>
      <c r="D110" s="64" t="s">
        <v>242</v>
      </c>
      <c r="E110" s="64">
        <v>36000</v>
      </c>
      <c r="F110" s="64">
        <v>396000</v>
      </c>
      <c r="G110" s="64">
        <v>360000</v>
      </c>
      <c r="H110" s="64" t="s">
        <v>8</v>
      </c>
      <c r="I110" s="111">
        <f t="shared" si="23"/>
        <v>360000</v>
      </c>
      <c r="J110" s="64"/>
      <c r="K110" s="64"/>
      <c r="L110" s="64"/>
      <c r="M110" s="64"/>
      <c r="N110" s="64"/>
      <c r="O110" s="82">
        <f>+I110</f>
        <v>360000</v>
      </c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117">
        <f t="shared" si="16"/>
        <v>360000</v>
      </c>
      <c r="AD110" s="117">
        <f t="shared" si="17"/>
        <v>0</v>
      </c>
      <c r="AE110" s="66" t="s">
        <v>743</v>
      </c>
    </row>
    <row r="111" spans="1:31">
      <c r="A111" s="66" t="s">
        <v>743</v>
      </c>
      <c r="B111" s="64" t="s">
        <v>307</v>
      </c>
      <c r="C111" s="64" t="s">
        <v>308</v>
      </c>
      <c r="D111" s="64" t="s">
        <v>309</v>
      </c>
      <c r="E111" s="64">
        <v>36473.214286000002</v>
      </c>
      <c r="F111" s="64">
        <v>408500</v>
      </c>
      <c r="G111" s="64">
        <v>372026.785714</v>
      </c>
      <c r="H111" s="64" t="s">
        <v>8</v>
      </c>
      <c r="I111" s="111">
        <f t="shared" si="23"/>
        <v>372026.785714</v>
      </c>
      <c r="J111" s="82">
        <f>+I111</f>
        <v>372026.785714</v>
      </c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117">
        <f t="shared" si="16"/>
        <v>372026.785714</v>
      </c>
      <c r="AD111" s="117">
        <f t="shared" si="17"/>
        <v>0</v>
      </c>
      <c r="AE111" s="66" t="s">
        <v>743</v>
      </c>
    </row>
    <row r="112" spans="1:31" ht="42">
      <c r="B112" s="126"/>
      <c r="C112" s="127" t="s">
        <v>804</v>
      </c>
      <c r="D112" s="127" t="s">
        <v>805</v>
      </c>
      <c r="E112" s="127" t="s">
        <v>752</v>
      </c>
      <c r="F112" s="127" t="s">
        <v>753</v>
      </c>
      <c r="G112" s="127">
        <v>1</v>
      </c>
      <c r="H112" s="127" t="s">
        <v>515</v>
      </c>
      <c r="I112" s="128">
        <v>411250</v>
      </c>
      <c r="J112" s="83"/>
      <c r="K112" s="83"/>
      <c r="L112" s="122">
        <v>411250</v>
      </c>
      <c r="M112" s="83"/>
      <c r="N112" s="122"/>
      <c r="O112" s="83"/>
      <c r="P112" s="83"/>
      <c r="Q112" s="122"/>
      <c r="R112" s="122"/>
      <c r="S112" s="122"/>
      <c r="T112" s="83"/>
      <c r="U112" s="123"/>
      <c r="V112" s="83"/>
      <c r="W112" s="122"/>
      <c r="X112" s="122"/>
      <c r="Y112" s="122"/>
      <c r="Z112" s="122"/>
      <c r="AA112" s="122"/>
      <c r="AB112" s="83"/>
      <c r="AC112" s="117">
        <f t="shared" si="16"/>
        <v>411250</v>
      </c>
      <c r="AD112" s="117">
        <f t="shared" si="17"/>
        <v>0</v>
      </c>
    </row>
    <row r="113" spans="1:31">
      <c r="A113" s="66" t="s">
        <v>743</v>
      </c>
      <c r="B113" s="64" t="s">
        <v>338</v>
      </c>
      <c r="C113" s="64" t="s">
        <v>140</v>
      </c>
      <c r="D113" s="64" t="s">
        <v>141</v>
      </c>
      <c r="E113" s="64">
        <v>0</v>
      </c>
      <c r="F113" s="64">
        <v>475000</v>
      </c>
      <c r="G113" s="64">
        <v>475000</v>
      </c>
      <c r="H113" s="64" t="s">
        <v>55</v>
      </c>
      <c r="I113" s="111">
        <f t="shared" ref="I113:I115" si="24">+F113-E113</f>
        <v>475000</v>
      </c>
      <c r="J113" s="64"/>
      <c r="K113" s="64"/>
      <c r="L113" s="64"/>
      <c r="M113" s="64"/>
      <c r="N113" s="64"/>
      <c r="O113" s="64"/>
      <c r="P113" s="64"/>
      <c r="Q113" s="82">
        <f>+I113</f>
        <v>475000</v>
      </c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117">
        <f t="shared" si="16"/>
        <v>475000</v>
      </c>
      <c r="AD113" s="117">
        <f t="shared" si="17"/>
        <v>0</v>
      </c>
      <c r="AE113" s="66" t="s">
        <v>743</v>
      </c>
    </row>
    <row r="114" spans="1:31">
      <c r="A114" s="66" t="s">
        <v>743</v>
      </c>
      <c r="B114" s="64" t="s">
        <v>281</v>
      </c>
      <c r="C114" s="64" t="s">
        <v>241</v>
      </c>
      <c r="D114" s="64" t="s">
        <v>242</v>
      </c>
      <c r="E114" s="64">
        <v>44000</v>
      </c>
      <c r="F114" s="64">
        <v>484000</v>
      </c>
      <c r="G114" s="64">
        <v>440000</v>
      </c>
      <c r="H114" s="64" t="s">
        <v>8</v>
      </c>
      <c r="I114" s="111">
        <f t="shared" si="24"/>
        <v>440000</v>
      </c>
      <c r="J114" s="65"/>
      <c r="K114" s="64"/>
      <c r="L114" s="64"/>
      <c r="M114" s="64"/>
      <c r="N114" s="64"/>
      <c r="O114" s="82">
        <f>+I114</f>
        <v>440000</v>
      </c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117">
        <f t="shared" si="16"/>
        <v>440000</v>
      </c>
      <c r="AD114" s="117">
        <f t="shared" si="17"/>
        <v>0</v>
      </c>
      <c r="AE114" s="66" t="s">
        <v>743</v>
      </c>
    </row>
    <row r="115" spans="1:31">
      <c r="A115" s="66" t="s">
        <v>743</v>
      </c>
      <c r="B115" s="64" t="s">
        <v>326</v>
      </c>
      <c r="C115" s="64" t="s">
        <v>329</v>
      </c>
      <c r="D115" s="64" t="s">
        <v>330</v>
      </c>
      <c r="E115" s="64">
        <v>44094.64</v>
      </c>
      <c r="F115" s="64">
        <v>490439</v>
      </c>
      <c r="G115" s="64">
        <v>446344.36</v>
      </c>
      <c r="H115" s="64" t="s">
        <v>8</v>
      </c>
      <c r="I115" s="111">
        <f t="shared" si="24"/>
        <v>446344.36</v>
      </c>
      <c r="J115" s="64"/>
      <c r="K115" s="64"/>
      <c r="L115" s="65">
        <v>446344.36</v>
      </c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117">
        <f t="shared" si="16"/>
        <v>446344.36</v>
      </c>
      <c r="AD115" s="117">
        <f t="shared" si="17"/>
        <v>0</v>
      </c>
      <c r="AE115" s="66" t="s">
        <v>743</v>
      </c>
    </row>
    <row r="116" spans="1:31" ht="31.5">
      <c r="B116" s="126"/>
      <c r="C116" s="127" t="s">
        <v>806</v>
      </c>
      <c r="D116" s="127" t="s">
        <v>807</v>
      </c>
      <c r="E116" s="127" t="s">
        <v>808</v>
      </c>
      <c r="F116" s="127" t="s">
        <v>809</v>
      </c>
      <c r="G116" s="127">
        <v>1</v>
      </c>
      <c r="H116" s="127" t="s">
        <v>515</v>
      </c>
      <c r="I116" s="128">
        <v>500000</v>
      </c>
      <c r="J116" s="125">
        <f>+I116</f>
        <v>500000</v>
      </c>
      <c r="K116" s="83"/>
      <c r="L116" s="122"/>
      <c r="M116" s="83"/>
      <c r="N116" s="122"/>
      <c r="O116" s="83"/>
      <c r="P116" s="83"/>
      <c r="Q116" s="122"/>
      <c r="R116" s="122"/>
      <c r="S116" s="122"/>
      <c r="T116" s="83"/>
      <c r="U116" s="123"/>
      <c r="V116" s="83"/>
      <c r="W116" s="122"/>
      <c r="X116" s="122"/>
      <c r="Y116" s="122"/>
      <c r="Z116" s="122"/>
      <c r="AA116" s="122"/>
      <c r="AB116" s="83"/>
      <c r="AC116" s="117">
        <f t="shared" si="16"/>
        <v>500000</v>
      </c>
      <c r="AD116" s="117">
        <f t="shared" si="17"/>
        <v>0</v>
      </c>
    </row>
    <row r="117" spans="1:31" ht="31.5">
      <c r="B117" s="126"/>
      <c r="C117" s="127" t="s">
        <v>810</v>
      </c>
      <c r="D117" s="130" t="s">
        <v>811</v>
      </c>
      <c r="E117" s="130" t="s">
        <v>774</v>
      </c>
      <c r="F117" s="130" t="s">
        <v>775</v>
      </c>
      <c r="G117" s="130">
        <v>1</v>
      </c>
      <c r="H117" s="130" t="s">
        <v>515</v>
      </c>
      <c r="I117" s="111">
        <v>500000</v>
      </c>
      <c r="J117" s="125">
        <f>+I117</f>
        <v>500000</v>
      </c>
      <c r="K117" s="83"/>
      <c r="L117" s="122"/>
      <c r="M117" s="83"/>
      <c r="N117" s="122"/>
      <c r="O117" s="83"/>
      <c r="P117" s="83"/>
      <c r="Q117" s="122"/>
      <c r="R117" s="122"/>
      <c r="S117" s="122"/>
      <c r="T117" s="83"/>
      <c r="U117" s="123"/>
      <c r="V117" s="122"/>
      <c r="W117" s="122"/>
      <c r="X117" s="122"/>
      <c r="Y117" s="122"/>
      <c r="Z117" s="122"/>
      <c r="AA117" s="122"/>
      <c r="AB117" s="83"/>
      <c r="AC117" s="117">
        <f t="shared" si="16"/>
        <v>500000</v>
      </c>
      <c r="AD117" s="117">
        <f t="shared" si="17"/>
        <v>0</v>
      </c>
    </row>
    <row r="118" spans="1:31" ht="31.5">
      <c r="B118" s="126"/>
      <c r="C118" s="127" t="s">
        <v>812</v>
      </c>
      <c r="D118" s="127" t="s">
        <v>813</v>
      </c>
      <c r="E118" s="127" t="s">
        <v>814</v>
      </c>
      <c r="F118" s="127" t="s">
        <v>815</v>
      </c>
      <c r="G118" s="127">
        <v>1</v>
      </c>
      <c r="H118" s="127" t="s">
        <v>515</v>
      </c>
      <c r="I118" s="128">
        <v>540000</v>
      </c>
      <c r="J118" s="125">
        <f>+I118</f>
        <v>540000</v>
      </c>
      <c r="K118" s="83"/>
      <c r="L118" s="122"/>
      <c r="M118" s="83"/>
      <c r="N118" s="122"/>
      <c r="O118" s="83"/>
      <c r="P118" s="83"/>
      <c r="Q118" s="122"/>
      <c r="R118" s="122"/>
      <c r="S118" s="122"/>
      <c r="T118" s="83"/>
      <c r="U118" s="123"/>
      <c r="V118" s="122"/>
      <c r="W118" s="122"/>
      <c r="X118" s="122"/>
      <c r="Y118" s="122"/>
      <c r="Z118" s="122"/>
      <c r="AA118" s="122"/>
      <c r="AB118" s="83"/>
      <c r="AC118" s="117">
        <f t="shared" si="16"/>
        <v>540000</v>
      </c>
      <c r="AD118" s="117">
        <f t="shared" si="17"/>
        <v>0</v>
      </c>
    </row>
    <row r="119" spans="1:31" ht="31.5">
      <c r="B119" s="126"/>
      <c r="C119" s="127" t="s">
        <v>816</v>
      </c>
      <c r="D119" s="127" t="s">
        <v>817</v>
      </c>
      <c r="E119" s="127" t="s">
        <v>818</v>
      </c>
      <c r="F119" s="127" t="s">
        <v>819</v>
      </c>
      <c r="G119" s="127">
        <v>1</v>
      </c>
      <c r="H119" s="127" t="s">
        <v>515</v>
      </c>
      <c r="I119" s="128">
        <v>572000</v>
      </c>
      <c r="J119" s="83"/>
      <c r="K119" s="83"/>
      <c r="L119" s="122"/>
      <c r="M119" s="83"/>
      <c r="N119" s="122"/>
      <c r="O119" s="83"/>
      <c r="P119" s="83">
        <v>572000</v>
      </c>
      <c r="Q119" s="122"/>
      <c r="R119" s="122"/>
      <c r="S119" s="122"/>
      <c r="T119" s="83"/>
      <c r="U119" s="123"/>
      <c r="V119" s="83"/>
      <c r="W119" s="122"/>
      <c r="X119" s="122"/>
      <c r="Y119" s="122"/>
      <c r="Z119" s="122"/>
      <c r="AA119" s="122"/>
      <c r="AB119" s="83"/>
      <c r="AC119" s="117">
        <f t="shared" si="16"/>
        <v>572000</v>
      </c>
      <c r="AD119" s="117">
        <f t="shared" si="17"/>
        <v>0</v>
      </c>
    </row>
    <row r="120" spans="1:31">
      <c r="A120" s="66" t="s">
        <v>743</v>
      </c>
      <c r="B120" s="64" t="s">
        <v>275</v>
      </c>
      <c r="C120" s="64" t="s">
        <v>190</v>
      </c>
      <c r="D120" s="64" t="s">
        <v>191</v>
      </c>
      <c r="E120" s="64">
        <v>52000</v>
      </c>
      <c r="F120" s="64">
        <v>572000</v>
      </c>
      <c r="G120" s="64">
        <v>520000</v>
      </c>
      <c r="H120" s="64" t="s">
        <v>8</v>
      </c>
      <c r="I120" s="111">
        <f t="shared" ref="I120:I121" si="25">+F120-E120</f>
        <v>520000</v>
      </c>
      <c r="J120" s="65"/>
      <c r="K120" s="64"/>
      <c r="L120" s="64"/>
      <c r="M120" s="64"/>
      <c r="N120" s="65"/>
      <c r="O120" s="64"/>
      <c r="P120" s="82">
        <f>+I120</f>
        <v>520000</v>
      </c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117">
        <f t="shared" si="16"/>
        <v>520000</v>
      </c>
      <c r="AD120" s="117">
        <f t="shared" si="17"/>
        <v>0</v>
      </c>
      <c r="AE120" s="66" t="s">
        <v>743</v>
      </c>
    </row>
    <row r="121" spans="1:31">
      <c r="A121" s="66" t="s">
        <v>743</v>
      </c>
      <c r="B121" s="64" t="s">
        <v>290</v>
      </c>
      <c r="C121" s="64" t="s">
        <v>241</v>
      </c>
      <c r="D121" s="64" t="s">
        <v>242</v>
      </c>
      <c r="E121" s="64">
        <v>53000</v>
      </c>
      <c r="F121" s="64">
        <v>583000</v>
      </c>
      <c r="G121" s="64">
        <v>530000</v>
      </c>
      <c r="H121" s="64" t="s">
        <v>8</v>
      </c>
      <c r="I121" s="111">
        <f t="shared" si="25"/>
        <v>530000</v>
      </c>
      <c r="J121" s="64"/>
      <c r="K121" s="64"/>
      <c r="L121" s="64"/>
      <c r="M121" s="64"/>
      <c r="N121" s="64"/>
      <c r="O121" s="82">
        <f>+I121</f>
        <v>530000</v>
      </c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117">
        <f t="shared" si="16"/>
        <v>530000</v>
      </c>
      <c r="AD121" s="117">
        <f t="shared" si="17"/>
        <v>0</v>
      </c>
      <c r="AE121" s="66" t="s">
        <v>743</v>
      </c>
    </row>
    <row r="122" spans="1:31" ht="31.5">
      <c r="B122" s="126"/>
      <c r="C122" s="127" t="s">
        <v>820</v>
      </c>
      <c r="D122" s="127" t="s">
        <v>821</v>
      </c>
      <c r="E122" s="127" t="s">
        <v>774</v>
      </c>
      <c r="F122" s="127" t="s">
        <v>775</v>
      </c>
      <c r="G122" s="127">
        <v>1</v>
      </c>
      <c r="H122" s="127" t="s">
        <v>515</v>
      </c>
      <c r="I122" s="128">
        <v>600000</v>
      </c>
      <c r="J122" s="83"/>
      <c r="K122" s="83"/>
      <c r="L122" s="122"/>
      <c r="M122" s="83"/>
      <c r="N122" s="122"/>
      <c r="O122" s="83"/>
      <c r="P122" s="83"/>
      <c r="Q122" s="122"/>
      <c r="R122" s="122"/>
      <c r="S122" s="122"/>
      <c r="T122" s="83"/>
      <c r="U122" s="123"/>
      <c r="V122" s="122"/>
      <c r="W122" s="122"/>
      <c r="X122" s="122"/>
      <c r="Y122" s="134">
        <f>+I122</f>
        <v>600000</v>
      </c>
      <c r="Z122" s="122"/>
      <c r="AA122" s="122"/>
      <c r="AB122" s="83"/>
      <c r="AC122" s="117">
        <f t="shared" si="16"/>
        <v>600000</v>
      </c>
      <c r="AD122" s="117">
        <f t="shared" si="17"/>
        <v>0</v>
      </c>
    </row>
    <row r="123" spans="1:31" ht="31.5">
      <c r="B123" s="126"/>
      <c r="C123" s="127" t="s">
        <v>822</v>
      </c>
      <c r="D123" s="127" t="s">
        <v>823</v>
      </c>
      <c r="E123" s="127" t="s">
        <v>760</v>
      </c>
      <c r="F123" s="127" t="s">
        <v>761</v>
      </c>
      <c r="G123" s="127">
        <v>1</v>
      </c>
      <c r="H123" s="127" t="s">
        <v>515</v>
      </c>
      <c r="I123" s="128">
        <v>645000</v>
      </c>
      <c r="J123" s="83">
        <v>645000</v>
      </c>
      <c r="K123" s="83"/>
      <c r="L123" s="122"/>
      <c r="M123" s="83"/>
      <c r="N123" s="122"/>
      <c r="O123" s="83"/>
      <c r="P123" s="83"/>
      <c r="Q123" s="122"/>
      <c r="R123" s="122"/>
      <c r="S123" s="122"/>
      <c r="T123" s="83"/>
      <c r="U123" s="123"/>
      <c r="V123" s="83"/>
      <c r="W123" s="122"/>
      <c r="X123" s="122"/>
      <c r="Y123" s="122"/>
      <c r="Z123" s="122"/>
      <c r="AA123" s="122"/>
      <c r="AB123" s="83"/>
      <c r="AC123" s="117">
        <f t="shared" si="16"/>
        <v>645000</v>
      </c>
      <c r="AD123" s="117">
        <f t="shared" si="17"/>
        <v>0</v>
      </c>
    </row>
    <row r="124" spans="1:31" ht="42">
      <c r="B124" s="126"/>
      <c r="C124" s="127" t="s">
        <v>824</v>
      </c>
      <c r="D124" s="127" t="s">
        <v>825</v>
      </c>
      <c r="E124" s="127" t="s">
        <v>826</v>
      </c>
      <c r="F124" s="127" t="s">
        <v>827</v>
      </c>
      <c r="G124" s="127">
        <v>1</v>
      </c>
      <c r="H124" s="127" t="s">
        <v>515</v>
      </c>
      <c r="I124" s="128">
        <v>806667</v>
      </c>
      <c r="J124" s="83"/>
      <c r="K124" s="83"/>
      <c r="L124" s="122"/>
      <c r="M124" s="83"/>
      <c r="N124" s="122"/>
      <c r="O124" s="83"/>
      <c r="P124" s="83"/>
      <c r="Q124" s="122"/>
      <c r="R124" s="122"/>
      <c r="S124" s="122">
        <v>806667</v>
      </c>
      <c r="T124" s="83"/>
      <c r="U124" s="123"/>
      <c r="V124" s="83"/>
      <c r="W124" s="122"/>
      <c r="X124" s="122"/>
      <c r="Y124" s="122"/>
      <c r="Z124" s="122"/>
      <c r="AA124" s="122"/>
      <c r="AB124" s="83"/>
      <c r="AC124" s="117">
        <f t="shared" si="16"/>
        <v>806667</v>
      </c>
      <c r="AD124" s="117">
        <f t="shared" si="17"/>
        <v>0</v>
      </c>
    </row>
    <row r="125" spans="1:31">
      <c r="A125" s="66" t="s">
        <v>743</v>
      </c>
      <c r="B125" s="64" t="s">
        <v>263</v>
      </c>
      <c r="C125" s="64" t="s">
        <v>266</v>
      </c>
      <c r="D125" s="64" t="s">
        <v>267</v>
      </c>
      <c r="E125" s="64">
        <v>84500</v>
      </c>
      <c r="F125" s="64">
        <v>929500</v>
      </c>
      <c r="G125" s="64">
        <v>845000</v>
      </c>
      <c r="H125" s="64" t="s">
        <v>8</v>
      </c>
      <c r="I125" s="111">
        <f>+F125-E125</f>
        <v>845000</v>
      </c>
      <c r="J125" s="64"/>
      <c r="K125" s="82"/>
      <c r="L125" s="64"/>
      <c r="M125" s="64"/>
      <c r="N125" s="64"/>
      <c r="O125" s="64"/>
      <c r="P125" s="82">
        <f>+I125</f>
        <v>845000</v>
      </c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117">
        <f t="shared" si="16"/>
        <v>845000</v>
      </c>
      <c r="AD125" s="117">
        <f t="shared" si="17"/>
        <v>0</v>
      </c>
      <c r="AE125" s="66" t="s">
        <v>743</v>
      </c>
    </row>
    <row r="126" spans="1:31" ht="31.5">
      <c r="B126" s="126"/>
      <c r="C126" s="132" t="s">
        <v>828</v>
      </c>
      <c r="D126" s="127" t="s">
        <v>829</v>
      </c>
      <c r="E126" s="127" t="s">
        <v>830</v>
      </c>
      <c r="F126" s="127" t="s">
        <v>831</v>
      </c>
      <c r="G126" s="127">
        <v>1</v>
      </c>
      <c r="H126" s="127" t="s">
        <v>515</v>
      </c>
      <c r="I126" s="128">
        <v>1000000</v>
      </c>
      <c r="J126" s="83"/>
      <c r="K126" s="83"/>
      <c r="L126" s="122"/>
      <c r="M126" s="83"/>
      <c r="N126" s="122"/>
      <c r="O126" s="83"/>
      <c r="P126" s="83"/>
      <c r="Q126" s="122"/>
      <c r="R126" s="122"/>
      <c r="S126" s="122">
        <v>1000000</v>
      </c>
      <c r="T126" s="83"/>
      <c r="U126" s="123"/>
      <c r="V126" s="122"/>
      <c r="W126" s="122"/>
      <c r="X126" s="122"/>
      <c r="Y126" s="122"/>
      <c r="Z126" s="122"/>
      <c r="AA126" s="122"/>
      <c r="AB126" s="83"/>
      <c r="AC126" s="117">
        <f t="shared" si="16"/>
        <v>1000000</v>
      </c>
      <c r="AD126" s="117">
        <f t="shared" si="17"/>
        <v>0</v>
      </c>
    </row>
    <row r="127" spans="1:31" ht="31.5">
      <c r="B127" s="126"/>
      <c r="C127" s="127" t="s">
        <v>832</v>
      </c>
      <c r="D127" s="130" t="s">
        <v>833</v>
      </c>
      <c r="E127" s="130" t="s">
        <v>774</v>
      </c>
      <c r="F127" s="130" t="s">
        <v>775</v>
      </c>
      <c r="G127" s="130">
        <v>1</v>
      </c>
      <c r="H127" s="130" t="s">
        <v>515</v>
      </c>
      <c r="I127" s="111">
        <v>500000</v>
      </c>
      <c r="J127" s="125">
        <f>+I127</f>
        <v>500000</v>
      </c>
      <c r="K127" s="83"/>
      <c r="L127" s="122"/>
      <c r="M127" s="83"/>
      <c r="N127" s="122"/>
      <c r="O127" s="83"/>
      <c r="P127" s="83"/>
      <c r="Q127" s="122"/>
      <c r="R127" s="122"/>
      <c r="S127" s="122"/>
      <c r="T127" s="83"/>
      <c r="U127" s="123"/>
      <c r="V127" s="122"/>
      <c r="W127" s="122"/>
      <c r="X127" s="122"/>
      <c r="Y127" s="122"/>
      <c r="Z127" s="122"/>
      <c r="AA127" s="122"/>
      <c r="AB127" s="83"/>
      <c r="AC127" s="117">
        <f t="shared" si="16"/>
        <v>500000</v>
      </c>
      <c r="AD127" s="117">
        <f t="shared" si="17"/>
        <v>0</v>
      </c>
    </row>
    <row r="128" spans="1:31" ht="42">
      <c r="B128" s="126"/>
      <c r="C128" s="132" t="s">
        <v>834</v>
      </c>
      <c r="D128" s="127" t="s">
        <v>835</v>
      </c>
      <c r="E128" s="127" t="s">
        <v>836</v>
      </c>
      <c r="F128" s="127" t="s">
        <v>837</v>
      </c>
      <c r="G128" s="127">
        <v>1</v>
      </c>
      <c r="H128" s="127" t="s">
        <v>515</v>
      </c>
      <c r="I128" s="128">
        <v>1030000</v>
      </c>
      <c r="J128" s="83"/>
      <c r="K128" s="83"/>
      <c r="L128" s="122"/>
      <c r="M128" s="83"/>
      <c r="N128" s="122"/>
      <c r="O128" s="83"/>
      <c r="P128" s="83"/>
      <c r="Q128" s="122"/>
      <c r="R128" s="122"/>
      <c r="S128" s="122">
        <v>1030000</v>
      </c>
      <c r="T128" s="83"/>
      <c r="U128" s="123"/>
      <c r="V128" s="83"/>
      <c r="W128" s="122"/>
      <c r="X128" s="122"/>
      <c r="Y128" s="122"/>
      <c r="Z128" s="122"/>
      <c r="AA128" s="122"/>
      <c r="AB128" s="83"/>
      <c r="AC128" s="117">
        <f t="shared" si="16"/>
        <v>1030000</v>
      </c>
      <c r="AD128" s="117">
        <f t="shared" si="17"/>
        <v>0</v>
      </c>
    </row>
    <row r="129" spans="1:31" ht="31.5">
      <c r="B129" s="126"/>
      <c r="C129" s="132" t="s">
        <v>838</v>
      </c>
      <c r="D129" s="127" t="s">
        <v>839</v>
      </c>
      <c r="E129" s="127" t="s">
        <v>840</v>
      </c>
      <c r="F129" s="127" t="s">
        <v>841</v>
      </c>
      <c r="G129" s="127">
        <v>1</v>
      </c>
      <c r="H129" s="127" t="s">
        <v>515</v>
      </c>
      <c r="I129" s="128">
        <v>1040000</v>
      </c>
      <c r="J129" s="83"/>
      <c r="K129" s="83"/>
      <c r="L129" s="122"/>
      <c r="M129" s="83"/>
      <c r="N129" s="122"/>
      <c r="O129" s="83"/>
      <c r="P129" s="83"/>
      <c r="Q129" s="122"/>
      <c r="R129" s="122"/>
      <c r="S129" s="122">
        <v>1040000</v>
      </c>
      <c r="T129" s="83"/>
      <c r="U129" s="123"/>
      <c r="V129" s="83"/>
      <c r="W129" s="122"/>
      <c r="X129" s="122"/>
      <c r="Y129" s="122"/>
      <c r="Z129" s="122"/>
      <c r="AA129" s="122"/>
      <c r="AB129" s="83"/>
      <c r="AC129" s="117">
        <f t="shared" si="16"/>
        <v>1040000</v>
      </c>
      <c r="AD129" s="117">
        <f t="shared" si="17"/>
        <v>0</v>
      </c>
    </row>
    <row r="130" spans="1:31" ht="42">
      <c r="B130" s="126"/>
      <c r="C130" s="132" t="s">
        <v>842</v>
      </c>
      <c r="D130" s="127" t="s">
        <v>843</v>
      </c>
      <c r="E130" s="127" t="s">
        <v>844</v>
      </c>
      <c r="F130" s="127" t="s">
        <v>845</v>
      </c>
      <c r="G130" s="127">
        <v>1</v>
      </c>
      <c r="H130" s="127" t="s">
        <v>515</v>
      </c>
      <c r="I130" s="128">
        <v>1100000</v>
      </c>
      <c r="J130" s="83"/>
      <c r="K130" s="83"/>
      <c r="L130" s="122"/>
      <c r="M130" s="83"/>
      <c r="N130" s="122"/>
      <c r="O130" s="83"/>
      <c r="P130" s="83"/>
      <c r="Q130" s="122"/>
      <c r="R130" s="122"/>
      <c r="S130" s="122">
        <v>1100000</v>
      </c>
      <c r="T130" s="83"/>
      <c r="U130" s="123"/>
      <c r="V130" s="83"/>
      <c r="W130" s="122"/>
      <c r="X130" s="122"/>
      <c r="Y130" s="122"/>
      <c r="Z130" s="122"/>
      <c r="AA130" s="122"/>
      <c r="AB130" s="83"/>
      <c r="AC130" s="117">
        <f t="shared" si="16"/>
        <v>1100000</v>
      </c>
      <c r="AD130" s="117">
        <f t="shared" si="17"/>
        <v>0</v>
      </c>
    </row>
    <row r="131" spans="1:31" ht="31.5">
      <c r="B131" s="126"/>
      <c r="C131" s="127" t="s">
        <v>846</v>
      </c>
      <c r="D131" s="130" t="s">
        <v>847</v>
      </c>
      <c r="E131" s="130" t="s">
        <v>814</v>
      </c>
      <c r="F131" s="130" t="s">
        <v>815</v>
      </c>
      <c r="G131" s="130">
        <v>1</v>
      </c>
      <c r="H131" s="130" t="s">
        <v>515</v>
      </c>
      <c r="I131" s="131">
        <v>1100000</v>
      </c>
      <c r="J131" s="125">
        <f>+I131</f>
        <v>1100000</v>
      </c>
      <c r="K131" s="83"/>
      <c r="L131" s="122"/>
      <c r="M131" s="83"/>
      <c r="N131" s="122"/>
      <c r="O131" s="83"/>
      <c r="P131" s="83"/>
      <c r="Q131" s="122"/>
      <c r="R131" s="122"/>
      <c r="S131" s="122"/>
      <c r="T131" s="83"/>
      <c r="U131" s="123"/>
      <c r="V131" s="122"/>
      <c r="W131" s="122"/>
      <c r="X131" s="122"/>
      <c r="Y131" s="122"/>
      <c r="Z131" s="122"/>
      <c r="AA131" s="122"/>
      <c r="AB131" s="83"/>
      <c r="AC131" s="117">
        <f t="shared" si="16"/>
        <v>1100000</v>
      </c>
      <c r="AD131" s="117">
        <f t="shared" si="17"/>
        <v>0</v>
      </c>
    </row>
    <row r="132" spans="1:31" ht="42">
      <c r="B132" s="126"/>
      <c r="C132" s="132" t="s">
        <v>848</v>
      </c>
      <c r="D132" s="127" t="s">
        <v>849</v>
      </c>
      <c r="E132" s="127" t="s">
        <v>850</v>
      </c>
      <c r="F132" s="127" t="s">
        <v>851</v>
      </c>
      <c r="G132" s="127">
        <v>1</v>
      </c>
      <c r="H132" s="127" t="s">
        <v>515</v>
      </c>
      <c r="I132" s="128">
        <v>1152000</v>
      </c>
      <c r="J132" s="83"/>
      <c r="K132" s="83"/>
      <c r="L132" s="122"/>
      <c r="M132" s="83"/>
      <c r="N132" s="122"/>
      <c r="O132" s="83"/>
      <c r="P132" s="83"/>
      <c r="Q132" s="122"/>
      <c r="R132" s="122"/>
      <c r="S132" s="122">
        <v>1152000</v>
      </c>
      <c r="T132" s="83"/>
      <c r="U132" s="123"/>
      <c r="V132" s="83"/>
      <c r="W132" s="122"/>
      <c r="X132" s="122"/>
      <c r="Y132" s="122"/>
      <c r="Z132" s="122"/>
      <c r="AA132" s="122"/>
      <c r="AB132" s="83"/>
      <c r="AC132" s="117">
        <f t="shared" si="16"/>
        <v>1152000</v>
      </c>
      <c r="AD132" s="117">
        <f t="shared" si="17"/>
        <v>0</v>
      </c>
    </row>
    <row r="133" spans="1:31" ht="42">
      <c r="B133" s="126"/>
      <c r="C133" s="132" t="s">
        <v>852</v>
      </c>
      <c r="D133" s="127" t="s">
        <v>853</v>
      </c>
      <c r="E133" s="127" t="s">
        <v>854</v>
      </c>
      <c r="F133" s="127" t="s">
        <v>855</v>
      </c>
      <c r="G133" s="127">
        <v>1</v>
      </c>
      <c r="H133" s="127" t="s">
        <v>515</v>
      </c>
      <c r="I133" s="128">
        <v>1173333</v>
      </c>
      <c r="J133" s="83"/>
      <c r="K133" s="83"/>
      <c r="L133" s="122"/>
      <c r="M133" s="83"/>
      <c r="N133" s="122"/>
      <c r="O133" s="83"/>
      <c r="P133" s="83"/>
      <c r="Q133" s="122"/>
      <c r="R133" s="122"/>
      <c r="S133" s="122">
        <v>1173333</v>
      </c>
      <c r="T133" s="83"/>
      <c r="U133" s="123"/>
      <c r="V133" s="83"/>
      <c r="W133" s="122"/>
      <c r="X133" s="122"/>
      <c r="Y133" s="122"/>
      <c r="Z133" s="122"/>
      <c r="AA133" s="122"/>
      <c r="AB133" s="83"/>
      <c r="AC133" s="117">
        <f t="shared" si="16"/>
        <v>1173333</v>
      </c>
      <c r="AD133" s="117">
        <f t="shared" si="17"/>
        <v>0</v>
      </c>
    </row>
    <row r="134" spans="1:31" ht="31.5">
      <c r="B134" s="126"/>
      <c r="C134" s="132" t="s">
        <v>856</v>
      </c>
      <c r="D134" s="127" t="s">
        <v>857</v>
      </c>
      <c r="E134" s="127" t="s">
        <v>858</v>
      </c>
      <c r="F134" s="127" t="s">
        <v>859</v>
      </c>
      <c r="G134" s="127">
        <v>1</v>
      </c>
      <c r="H134" s="127" t="s">
        <v>515</v>
      </c>
      <c r="I134" s="128">
        <v>1200000</v>
      </c>
      <c r="J134" s="83"/>
      <c r="K134" s="83"/>
      <c r="L134" s="122"/>
      <c r="M134" s="83"/>
      <c r="N134" s="122"/>
      <c r="O134" s="83"/>
      <c r="P134" s="83"/>
      <c r="Q134" s="122"/>
      <c r="R134" s="122"/>
      <c r="S134" s="122">
        <v>1200000</v>
      </c>
      <c r="T134" s="83"/>
      <c r="U134" s="123"/>
      <c r="V134" s="83"/>
      <c r="W134" s="122"/>
      <c r="X134" s="122"/>
      <c r="Y134" s="122"/>
      <c r="Z134" s="122"/>
      <c r="AA134" s="122"/>
      <c r="AB134" s="83"/>
      <c r="AC134" s="117">
        <f t="shared" si="16"/>
        <v>1200000</v>
      </c>
      <c r="AD134" s="117">
        <f t="shared" si="17"/>
        <v>0</v>
      </c>
    </row>
    <row r="135" spans="1:31" ht="31.5">
      <c r="B135" s="126"/>
      <c r="C135" s="132" t="s">
        <v>860</v>
      </c>
      <c r="D135" s="127" t="s">
        <v>861</v>
      </c>
      <c r="E135" s="127" t="s">
        <v>862</v>
      </c>
      <c r="F135" s="127" t="s">
        <v>863</v>
      </c>
      <c r="G135" s="127">
        <v>1</v>
      </c>
      <c r="H135" s="127" t="s">
        <v>515</v>
      </c>
      <c r="I135" s="128">
        <v>1278000</v>
      </c>
      <c r="J135" s="83"/>
      <c r="K135" s="83"/>
      <c r="L135" s="122"/>
      <c r="M135" s="83"/>
      <c r="N135" s="122"/>
      <c r="O135" s="83"/>
      <c r="P135" s="83"/>
      <c r="Q135" s="122"/>
      <c r="R135" s="122"/>
      <c r="S135" s="122">
        <v>1278000</v>
      </c>
      <c r="T135" s="83"/>
      <c r="U135" s="123"/>
      <c r="V135" s="83"/>
      <c r="W135" s="122"/>
      <c r="X135" s="122"/>
      <c r="Y135" s="122"/>
      <c r="Z135" s="122"/>
      <c r="AA135" s="122"/>
      <c r="AB135" s="83"/>
      <c r="AC135" s="117">
        <f t="shared" si="16"/>
        <v>1278000</v>
      </c>
      <c r="AD135" s="117">
        <f t="shared" si="17"/>
        <v>0</v>
      </c>
    </row>
    <row r="136" spans="1:31" ht="31.5">
      <c r="B136" s="126"/>
      <c r="C136" s="132" t="s">
        <v>864</v>
      </c>
      <c r="D136" s="127" t="s">
        <v>865</v>
      </c>
      <c r="E136" s="127" t="s">
        <v>866</v>
      </c>
      <c r="F136" s="127" t="s">
        <v>867</v>
      </c>
      <c r="G136" s="127">
        <v>1</v>
      </c>
      <c r="H136" s="127" t="s">
        <v>515</v>
      </c>
      <c r="I136" s="128">
        <v>1323333</v>
      </c>
      <c r="J136" s="83"/>
      <c r="K136" s="83"/>
      <c r="L136" s="122"/>
      <c r="M136" s="83"/>
      <c r="N136" s="122"/>
      <c r="O136" s="83"/>
      <c r="P136" s="83"/>
      <c r="Q136" s="122"/>
      <c r="R136" s="122"/>
      <c r="S136" s="122">
        <v>1323333</v>
      </c>
      <c r="T136" s="83"/>
      <c r="U136" s="123"/>
      <c r="V136" s="83"/>
      <c r="W136" s="122"/>
      <c r="X136" s="122"/>
      <c r="Y136" s="122"/>
      <c r="Z136" s="122"/>
      <c r="AA136" s="122"/>
      <c r="AB136" s="83"/>
      <c r="AC136" s="117">
        <f t="shared" si="16"/>
        <v>1323333</v>
      </c>
      <c r="AD136" s="117">
        <f t="shared" si="17"/>
        <v>0</v>
      </c>
    </row>
    <row r="137" spans="1:31" ht="31.5">
      <c r="B137" s="126"/>
      <c r="C137" s="132" t="s">
        <v>868</v>
      </c>
      <c r="D137" s="127" t="s">
        <v>869</v>
      </c>
      <c r="E137" s="127" t="s">
        <v>870</v>
      </c>
      <c r="F137" s="127" t="s">
        <v>871</v>
      </c>
      <c r="G137" s="127">
        <v>1</v>
      </c>
      <c r="H137" s="127" t="s">
        <v>515</v>
      </c>
      <c r="I137" s="128">
        <v>1493333</v>
      </c>
      <c r="J137" s="83"/>
      <c r="K137" s="83"/>
      <c r="L137" s="122"/>
      <c r="M137" s="83"/>
      <c r="N137" s="122"/>
      <c r="O137" s="83"/>
      <c r="P137" s="83"/>
      <c r="Q137" s="122"/>
      <c r="R137" s="122"/>
      <c r="S137" s="122">
        <v>1493333</v>
      </c>
      <c r="T137" s="83"/>
      <c r="U137" s="123"/>
      <c r="V137" s="83"/>
      <c r="W137" s="122"/>
      <c r="X137" s="122"/>
      <c r="Y137" s="122"/>
      <c r="Z137" s="122"/>
      <c r="AA137" s="122"/>
      <c r="AB137" s="83"/>
      <c r="AC137" s="117">
        <f t="shared" si="16"/>
        <v>1493333</v>
      </c>
      <c r="AD137" s="117">
        <f t="shared" si="17"/>
        <v>0</v>
      </c>
    </row>
    <row r="138" spans="1:31" ht="31.5">
      <c r="B138" s="126"/>
      <c r="C138" s="127" t="s">
        <v>872</v>
      </c>
      <c r="D138" s="127" t="s">
        <v>873</v>
      </c>
      <c r="E138" s="127" t="s">
        <v>874</v>
      </c>
      <c r="F138" s="127" t="s">
        <v>875</v>
      </c>
      <c r="G138" s="127">
        <v>1</v>
      </c>
      <c r="H138" s="127" t="s">
        <v>515</v>
      </c>
      <c r="I138" s="128">
        <v>1500000</v>
      </c>
      <c r="J138" s="83"/>
      <c r="K138" s="83"/>
      <c r="L138" s="122"/>
      <c r="M138" s="83"/>
      <c r="N138" s="122"/>
      <c r="O138" s="83">
        <v>1500000</v>
      </c>
      <c r="P138" s="83"/>
      <c r="Q138" s="122"/>
      <c r="R138" s="122"/>
      <c r="S138" s="122"/>
      <c r="T138" s="83"/>
      <c r="U138" s="123"/>
      <c r="V138" s="83"/>
      <c r="W138" s="122"/>
      <c r="X138" s="122"/>
      <c r="Y138" s="122"/>
      <c r="Z138" s="122"/>
      <c r="AA138" s="122"/>
      <c r="AB138" s="83"/>
      <c r="AC138" s="117">
        <f t="shared" si="16"/>
        <v>1500000</v>
      </c>
      <c r="AD138" s="117">
        <f t="shared" si="17"/>
        <v>0</v>
      </c>
    </row>
    <row r="139" spans="1:31" ht="21">
      <c r="B139" s="126"/>
      <c r="C139" s="127" t="s">
        <v>876</v>
      </c>
      <c r="D139" s="127" t="s">
        <v>877</v>
      </c>
      <c r="E139" s="127" t="s">
        <v>878</v>
      </c>
      <c r="F139" s="127" t="s">
        <v>879</v>
      </c>
      <c r="G139" s="127">
        <v>1</v>
      </c>
      <c r="H139" s="127" t="s">
        <v>515</v>
      </c>
      <c r="I139" s="128">
        <v>1550000</v>
      </c>
      <c r="J139" s="83"/>
      <c r="K139" s="83"/>
      <c r="L139" s="122"/>
      <c r="M139" s="83"/>
      <c r="N139" s="134">
        <f>+I139</f>
        <v>1550000</v>
      </c>
      <c r="O139" s="83"/>
      <c r="P139" s="83"/>
      <c r="Q139" s="122"/>
      <c r="R139" s="122"/>
      <c r="S139" s="122"/>
      <c r="T139" s="83"/>
      <c r="U139" s="123"/>
      <c r="V139" s="83"/>
      <c r="W139" s="122"/>
      <c r="X139" s="122"/>
      <c r="Y139" s="122"/>
      <c r="Z139" s="122"/>
      <c r="AA139" s="122"/>
      <c r="AB139" s="83"/>
      <c r="AC139" s="117">
        <f t="shared" ref="AC139:AC156" si="26">SUM(J139:AB139)</f>
        <v>1550000</v>
      </c>
      <c r="AD139" s="117">
        <f t="shared" ref="AD139:AD156" si="27">+AC139-I139</f>
        <v>0</v>
      </c>
    </row>
    <row r="140" spans="1:31" ht="21">
      <c r="B140" s="126"/>
      <c r="C140" s="127" t="s">
        <v>880</v>
      </c>
      <c r="D140" s="127" t="s">
        <v>881</v>
      </c>
      <c r="E140" s="127" t="s">
        <v>882</v>
      </c>
      <c r="F140" s="127" t="s">
        <v>883</v>
      </c>
      <c r="G140" s="127">
        <v>1</v>
      </c>
      <c r="H140" s="127" t="s">
        <v>515</v>
      </c>
      <c r="I140" s="128">
        <v>1606000</v>
      </c>
      <c r="J140" s="83"/>
      <c r="K140" s="83"/>
      <c r="L140" s="122"/>
      <c r="M140" s="83"/>
      <c r="N140" s="122"/>
      <c r="O140" s="83">
        <v>1606000</v>
      </c>
      <c r="P140" s="83"/>
      <c r="Q140" s="122"/>
      <c r="R140" s="122"/>
      <c r="S140" s="122"/>
      <c r="T140" s="83"/>
      <c r="U140" s="123"/>
      <c r="V140" s="83"/>
      <c r="W140" s="122"/>
      <c r="X140" s="122"/>
      <c r="Y140" s="122"/>
      <c r="Z140" s="122"/>
      <c r="AA140" s="122"/>
      <c r="AB140" s="83"/>
      <c r="AC140" s="117">
        <f t="shared" si="26"/>
        <v>1606000</v>
      </c>
      <c r="AD140" s="117">
        <f t="shared" si="27"/>
        <v>0</v>
      </c>
    </row>
    <row r="141" spans="1:31">
      <c r="A141" s="66" t="s">
        <v>743</v>
      </c>
      <c r="B141" s="64" t="s">
        <v>275</v>
      </c>
      <c r="C141" s="64" t="s">
        <v>243</v>
      </c>
      <c r="D141" s="64" t="s">
        <v>244</v>
      </c>
      <c r="E141" s="64">
        <v>146000</v>
      </c>
      <c r="F141" s="64">
        <v>1606000</v>
      </c>
      <c r="G141" s="64">
        <v>1460000</v>
      </c>
      <c r="H141" s="64" t="s">
        <v>8</v>
      </c>
      <c r="I141" s="111">
        <f>+F141-E141</f>
        <v>1460000</v>
      </c>
      <c r="J141" s="64"/>
      <c r="K141" s="64"/>
      <c r="L141" s="64"/>
      <c r="M141" s="64"/>
      <c r="N141" s="64"/>
      <c r="O141" s="64"/>
      <c r="P141" s="82">
        <f>+I141</f>
        <v>1460000</v>
      </c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117">
        <f t="shared" si="26"/>
        <v>1460000</v>
      </c>
      <c r="AD141" s="117">
        <f t="shared" si="27"/>
        <v>0</v>
      </c>
      <c r="AE141" s="66" t="s">
        <v>743</v>
      </c>
    </row>
    <row r="142" spans="1:31" ht="31.5">
      <c r="B142" s="126"/>
      <c r="C142" s="132" t="s">
        <v>884</v>
      </c>
      <c r="D142" s="127" t="s">
        <v>885</v>
      </c>
      <c r="E142" s="127" t="s">
        <v>886</v>
      </c>
      <c r="F142" s="127" t="s">
        <v>887</v>
      </c>
      <c r="G142" s="127">
        <v>1</v>
      </c>
      <c r="H142" s="127" t="s">
        <v>515</v>
      </c>
      <c r="I142" s="128">
        <v>1644400</v>
      </c>
      <c r="J142" s="83"/>
      <c r="K142" s="83"/>
      <c r="L142" s="122"/>
      <c r="M142" s="83"/>
      <c r="N142" s="122"/>
      <c r="O142" s="83"/>
      <c r="P142" s="83"/>
      <c r="Q142" s="122"/>
      <c r="R142" s="122"/>
      <c r="S142" s="122">
        <v>1644400</v>
      </c>
      <c r="T142" s="83"/>
      <c r="U142" s="123"/>
      <c r="V142" s="83"/>
      <c r="W142" s="122"/>
      <c r="X142" s="122"/>
      <c r="Y142" s="122"/>
      <c r="Z142" s="122"/>
      <c r="AA142" s="122"/>
      <c r="AB142" s="83"/>
      <c r="AC142" s="117">
        <f t="shared" si="26"/>
        <v>1644400</v>
      </c>
      <c r="AD142" s="117">
        <f t="shared" si="27"/>
        <v>0</v>
      </c>
    </row>
    <row r="143" spans="1:31">
      <c r="A143" s="66" t="s">
        <v>743</v>
      </c>
      <c r="B143" s="64" t="s">
        <v>281</v>
      </c>
      <c r="C143" s="64" t="s">
        <v>59</v>
      </c>
      <c r="D143" s="64" t="s">
        <v>60</v>
      </c>
      <c r="E143" s="64">
        <v>0</v>
      </c>
      <c r="F143" s="64">
        <v>1748126.86</v>
      </c>
      <c r="G143" s="64">
        <v>1748126.86</v>
      </c>
      <c r="H143" s="64" t="s">
        <v>55</v>
      </c>
      <c r="I143" s="81">
        <v>1748126.86</v>
      </c>
      <c r="J143" s="65"/>
      <c r="K143" s="65">
        <v>1748126.86</v>
      </c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117">
        <f t="shared" si="26"/>
        <v>1748126.86</v>
      </c>
      <c r="AD143" s="117">
        <f t="shared" si="27"/>
        <v>0</v>
      </c>
      <c r="AE143" s="66" t="s">
        <v>743</v>
      </c>
    </row>
    <row r="144" spans="1:31" ht="21">
      <c r="B144" s="126"/>
      <c r="C144" s="127" t="s">
        <v>888</v>
      </c>
      <c r="D144" s="127" t="s">
        <v>889</v>
      </c>
      <c r="E144" s="127" t="s">
        <v>890</v>
      </c>
      <c r="F144" s="127" t="s">
        <v>891</v>
      </c>
      <c r="G144" s="127">
        <v>1</v>
      </c>
      <c r="H144" s="127" t="s">
        <v>515</v>
      </c>
      <c r="I144" s="128">
        <v>1907518</v>
      </c>
      <c r="J144" s="83"/>
      <c r="K144" s="83">
        <v>1907518</v>
      </c>
      <c r="L144" s="122"/>
      <c r="M144" s="83"/>
      <c r="N144" s="122"/>
      <c r="O144" s="83"/>
      <c r="P144" s="83"/>
      <c r="Q144" s="122"/>
      <c r="R144" s="122"/>
      <c r="S144" s="122"/>
      <c r="U144" s="123"/>
      <c r="V144" s="83"/>
      <c r="W144" s="122"/>
      <c r="X144" s="122"/>
      <c r="Y144" s="122"/>
      <c r="Z144" s="122"/>
      <c r="AA144" s="122"/>
      <c r="AB144" s="83"/>
      <c r="AC144" s="117">
        <f t="shared" si="26"/>
        <v>1907518</v>
      </c>
      <c r="AD144" s="117">
        <f t="shared" si="27"/>
        <v>0</v>
      </c>
    </row>
    <row r="145" spans="1:31" ht="31.5">
      <c r="B145" s="126"/>
      <c r="C145" s="127" t="s">
        <v>892</v>
      </c>
      <c r="D145" s="127" t="s">
        <v>893</v>
      </c>
      <c r="E145" s="127" t="s">
        <v>894</v>
      </c>
      <c r="F145" s="127" t="s">
        <v>895</v>
      </c>
      <c r="G145" s="127">
        <v>1</v>
      </c>
      <c r="H145" s="127" t="s">
        <v>515</v>
      </c>
      <c r="I145" s="128">
        <v>2000000</v>
      </c>
      <c r="J145" s="83"/>
      <c r="K145" s="83"/>
      <c r="L145" s="122"/>
      <c r="M145" s="83"/>
      <c r="N145" s="122"/>
      <c r="O145" s="83"/>
      <c r="P145" s="83">
        <v>2000000</v>
      </c>
      <c r="Q145" s="122"/>
      <c r="R145" s="122"/>
      <c r="S145" s="122"/>
      <c r="T145" s="83"/>
      <c r="U145" s="123"/>
      <c r="V145" s="83"/>
      <c r="W145" s="122"/>
      <c r="X145" s="122"/>
      <c r="Y145" s="122"/>
      <c r="Z145" s="122"/>
      <c r="AA145" s="122"/>
      <c r="AB145" s="83"/>
      <c r="AC145" s="117">
        <f t="shared" si="26"/>
        <v>2000000</v>
      </c>
      <c r="AD145" s="117">
        <f t="shared" si="27"/>
        <v>0</v>
      </c>
    </row>
    <row r="146" spans="1:31" ht="31.5">
      <c r="B146" s="126"/>
      <c r="C146" s="132" t="s">
        <v>896</v>
      </c>
      <c r="D146" s="127" t="s">
        <v>897</v>
      </c>
      <c r="E146" s="127" t="s">
        <v>870</v>
      </c>
      <c r="F146" s="127" t="s">
        <v>871</v>
      </c>
      <c r="G146" s="127">
        <v>1</v>
      </c>
      <c r="H146" s="127" t="s">
        <v>515</v>
      </c>
      <c r="I146" s="128">
        <v>2150000</v>
      </c>
      <c r="J146" s="83"/>
      <c r="K146" s="83"/>
      <c r="L146" s="122"/>
      <c r="M146" s="83"/>
      <c r="N146" s="122"/>
      <c r="O146" s="83"/>
      <c r="P146" s="83"/>
      <c r="Q146" s="122"/>
      <c r="R146" s="122"/>
      <c r="S146" s="122">
        <v>2150000</v>
      </c>
      <c r="T146" s="83"/>
      <c r="U146" s="123"/>
      <c r="V146" s="83"/>
      <c r="W146" s="122"/>
      <c r="X146" s="122"/>
      <c r="Y146" s="122"/>
      <c r="Z146" s="122"/>
      <c r="AA146" s="122"/>
      <c r="AB146" s="83"/>
      <c r="AC146" s="117">
        <f t="shared" si="26"/>
        <v>2150000</v>
      </c>
      <c r="AD146" s="117">
        <f t="shared" si="27"/>
        <v>0</v>
      </c>
    </row>
    <row r="147" spans="1:31" ht="31.5">
      <c r="B147" s="126"/>
      <c r="C147" s="132" t="s">
        <v>898</v>
      </c>
      <c r="D147" s="127" t="s">
        <v>899</v>
      </c>
      <c r="E147" s="127" t="s">
        <v>886</v>
      </c>
      <c r="F147" s="127" t="s">
        <v>887</v>
      </c>
      <c r="G147" s="127">
        <v>1</v>
      </c>
      <c r="H147" s="127" t="s">
        <v>515</v>
      </c>
      <c r="I147" s="128">
        <v>2250000</v>
      </c>
      <c r="J147" s="83"/>
      <c r="K147" s="83"/>
      <c r="L147" s="122"/>
      <c r="M147" s="83"/>
      <c r="N147" s="122"/>
      <c r="O147" s="83"/>
      <c r="P147" s="83"/>
      <c r="Q147" s="122"/>
      <c r="R147" s="122"/>
      <c r="S147" s="122">
        <v>2250000</v>
      </c>
      <c r="T147" s="83"/>
      <c r="U147" s="123"/>
      <c r="V147" s="83"/>
      <c r="W147" s="122"/>
      <c r="X147" s="122"/>
      <c r="Y147" s="122"/>
      <c r="Z147" s="122"/>
      <c r="AA147" s="122"/>
      <c r="AB147" s="83"/>
      <c r="AC147" s="117">
        <f t="shared" si="26"/>
        <v>2250000</v>
      </c>
      <c r="AD147" s="117">
        <f t="shared" si="27"/>
        <v>0</v>
      </c>
    </row>
    <row r="148" spans="1:31">
      <c r="A148" s="66" t="s">
        <v>743</v>
      </c>
      <c r="B148" s="64" t="s">
        <v>240</v>
      </c>
      <c r="C148" s="64" t="s">
        <v>156</v>
      </c>
      <c r="D148" s="64" t="s">
        <v>157</v>
      </c>
      <c r="E148" s="64">
        <v>258254.54545500001</v>
      </c>
      <c r="F148" s="64">
        <v>2840800</v>
      </c>
      <c r="G148" s="64">
        <v>2582545.4545450001</v>
      </c>
      <c r="H148" s="64" t="s">
        <v>8</v>
      </c>
      <c r="I148" s="111">
        <f t="shared" ref="I148:I149" si="28">+F148-E148</f>
        <v>2582545.4545450001</v>
      </c>
      <c r="J148" s="65"/>
      <c r="K148" s="64"/>
      <c r="L148" s="64"/>
      <c r="M148" s="64"/>
      <c r="N148" s="64"/>
      <c r="O148" s="64"/>
      <c r="P148" s="64"/>
      <c r="Q148" s="65">
        <v>2582545.4545450001</v>
      </c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117">
        <f t="shared" si="26"/>
        <v>2582545.4545450001</v>
      </c>
      <c r="AD148" s="117">
        <f t="shared" si="27"/>
        <v>0</v>
      </c>
      <c r="AE148" s="66" t="s">
        <v>743</v>
      </c>
    </row>
    <row r="149" spans="1:31">
      <c r="A149" s="66" t="s">
        <v>743</v>
      </c>
      <c r="B149" s="64" t="s">
        <v>268</v>
      </c>
      <c r="C149" s="64" t="s">
        <v>178</v>
      </c>
      <c r="D149" s="64" t="s">
        <v>179</v>
      </c>
      <c r="E149" s="64">
        <v>283181.82</v>
      </c>
      <c r="F149" s="64">
        <v>3115000</v>
      </c>
      <c r="G149" s="64">
        <v>2831818.18</v>
      </c>
      <c r="H149" s="64" t="s">
        <v>8</v>
      </c>
      <c r="I149" s="111">
        <f t="shared" si="28"/>
        <v>2831818.18</v>
      </c>
      <c r="J149" s="65"/>
      <c r="K149" s="64"/>
      <c r="L149" s="64"/>
      <c r="M149" s="64"/>
      <c r="N149" s="82"/>
      <c r="O149" s="64"/>
      <c r="P149" s="64"/>
      <c r="Q149" s="64"/>
      <c r="R149" s="65">
        <v>2831818.18</v>
      </c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117">
        <f t="shared" si="26"/>
        <v>2831818.18</v>
      </c>
      <c r="AD149" s="117">
        <f t="shared" si="27"/>
        <v>0</v>
      </c>
      <c r="AE149" s="66" t="s">
        <v>743</v>
      </c>
    </row>
    <row r="150" spans="1:31" ht="31.5">
      <c r="B150" s="126"/>
      <c r="C150" s="127" t="s">
        <v>900</v>
      </c>
      <c r="D150" s="127" t="s">
        <v>901</v>
      </c>
      <c r="E150" s="127" t="s">
        <v>752</v>
      </c>
      <c r="F150" s="127" t="s">
        <v>753</v>
      </c>
      <c r="G150" s="127">
        <v>1</v>
      </c>
      <c r="H150" s="127" t="s">
        <v>515</v>
      </c>
      <c r="I150" s="128">
        <v>3160000</v>
      </c>
      <c r="J150" s="83"/>
      <c r="K150" s="83">
        <v>3160000</v>
      </c>
      <c r="L150" s="122"/>
      <c r="M150" s="83"/>
      <c r="N150" s="122"/>
      <c r="O150" s="83"/>
      <c r="P150" s="83"/>
      <c r="Q150" s="122"/>
      <c r="R150" s="122"/>
      <c r="S150" s="122"/>
      <c r="U150" s="123"/>
      <c r="V150" s="83"/>
      <c r="W150" s="122"/>
      <c r="X150" s="122"/>
      <c r="Y150" s="122"/>
      <c r="Z150" s="122"/>
      <c r="AA150" s="122"/>
      <c r="AB150" s="83"/>
      <c r="AC150" s="117">
        <f t="shared" si="26"/>
        <v>3160000</v>
      </c>
      <c r="AD150" s="117">
        <f t="shared" si="27"/>
        <v>0</v>
      </c>
    </row>
    <row r="151" spans="1:31" ht="31.5">
      <c r="B151" s="126"/>
      <c r="C151" s="127" t="s">
        <v>902</v>
      </c>
      <c r="D151" s="127" t="s">
        <v>893</v>
      </c>
      <c r="E151" s="127" t="s">
        <v>894</v>
      </c>
      <c r="F151" s="127" t="s">
        <v>895</v>
      </c>
      <c r="G151" s="127">
        <v>1</v>
      </c>
      <c r="H151" s="127" t="s">
        <v>515</v>
      </c>
      <c r="I151" s="128">
        <v>4232000</v>
      </c>
      <c r="J151" s="83"/>
      <c r="K151" s="83"/>
      <c r="L151" s="122"/>
      <c r="M151" s="83"/>
      <c r="N151" s="122"/>
      <c r="O151" s="83"/>
      <c r="P151" s="83">
        <v>4232000</v>
      </c>
      <c r="Q151" s="122"/>
      <c r="R151" s="122"/>
      <c r="S151" s="122"/>
      <c r="T151" s="83"/>
      <c r="U151" s="123"/>
      <c r="V151" s="83"/>
      <c r="W151" s="122"/>
      <c r="X151" s="122"/>
      <c r="Y151" s="122"/>
      <c r="Z151" s="122"/>
      <c r="AA151" s="122"/>
      <c r="AB151" s="83"/>
      <c r="AC151" s="117">
        <f t="shared" si="26"/>
        <v>4232000</v>
      </c>
      <c r="AD151" s="117">
        <f t="shared" si="27"/>
        <v>0</v>
      </c>
    </row>
    <row r="152" spans="1:31">
      <c r="A152" s="66" t="s">
        <v>743</v>
      </c>
      <c r="B152" s="64" t="s">
        <v>268</v>
      </c>
      <c r="C152" s="64" t="s">
        <v>273</v>
      </c>
      <c r="D152" s="64" t="s">
        <v>274</v>
      </c>
      <c r="E152" s="64">
        <v>404536.36363600002</v>
      </c>
      <c r="F152" s="64">
        <v>4449900</v>
      </c>
      <c r="G152" s="64">
        <v>4045363.6363639999</v>
      </c>
      <c r="H152" s="64" t="s">
        <v>8</v>
      </c>
      <c r="I152" s="111">
        <f>+F152-E152</f>
        <v>4045363.6363639999</v>
      </c>
      <c r="J152" s="82"/>
      <c r="K152" s="64"/>
      <c r="L152" s="64"/>
      <c r="M152" s="64"/>
      <c r="N152" s="65">
        <v>4045363.6363639999</v>
      </c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117">
        <f t="shared" si="26"/>
        <v>4045363.6363639999</v>
      </c>
      <c r="AD152" s="117">
        <f t="shared" si="27"/>
        <v>0</v>
      </c>
      <c r="AE152" s="66" t="s">
        <v>743</v>
      </c>
    </row>
    <row r="153" spans="1:31" ht="42">
      <c r="B153" s="126"/>
      <c r="C153" s="127" t="s">
        <v>903</v>
      </c>
      <c r="D153" s="127" t="s">
        <v>904</v>
      </c>
      <c r="E153" s="127" t="s">
        <v>858</v>
      </c>
      <c r="F153" s="127" t="s">
        <v>859</v>
      </c>
      <c r="G153" s="127">
        <v>1</v>
      </c>
      <c r="H153" s="127" t="s">
        <v>515</v>
      </c>
      <c r="I153" s="128">
        <v>4500000</v>
      </c>
      <c r="J153" s="125">
        <f>+I153</f>
        <v>4500000</v>
      </c>
      <c r="K153" s="83"/>
      <c r="L153" s="122"/>
      <c r="M153" s="83"/>
      <c r="N153" s="122"/>
      <c r="O153" s="83"/>
      <c r="P153" s="83"/>
      <c r="Q153" s="122"/>
      <c r="R153" s="122"/>
      <c r="S153" s="122"/>
      <c r="T153" s="83"/>
      <c r="U153" s="123"/>
      <c r="V153" s="83"/>
      <c r="W153" s="122"/>
      <c r="X153" s="122"/>
      <c r="Y153" s="122"/>
      <c r="Z153" s="122"/>
      <c r="AA153" s="122"/>
      <c r="AB153" s="83"/>
      <c r="AC153" s="117">
        <f t="shared" si="26"/>
        <v>4500000</v>
      </c>
      <c r="AD153" s="117">
        <f t="shared" si="27"/>
        <v>0</v>
      </c>
    </row>
    <row r="154" spans="1:31">
      <c r="A154" s="66" t="s">
        <v>743</v>
      </c>
      <c r="B154" s="64" t="s">
        <v>255</v>
      </c>
      <c r="C154" s="64" t="s">
        <v>256</v>
      </c>
      <c r="D154" s="64" t="s">
        <v>257</v>
      </c>
      <c r="E154" s="64">
        <v>0</v>
      </c>
      <c r="F154" s="64">
        <v>4960000</v>
      </c>
      <c r="G154" s="64">
        <v>4960000</v>
      </c>
      <c r="H154" s="64" t="s">
        <v>8</v>
      </c>
      <c r="I154" s="81">
        <v>4960000</v>
      </c>
      <c r="J154" s="64"/>
      <c r="K154" s="65"/>
      <c r="L154" s="64"/>
      <c r="M154" s="64"/>
      <c r="N154" s="64"/>
      <c r="O154" s="65">
        <v>4960000</v>
      </c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117">
        <f t="shared" si="26"/>
        <v>4960000</v>
      </c>
      <c r="AD154" s="117">
        <f t="shared" si="27"/>
        <v>0</v>
      </c>
      <c r="AE154" s="66" t="s">
        <v>743</v>
      </c>
    </row>
    <row r="155" spans="1:31" ht="42">
      <c r="B155" s="126"/>
      <c r="C155" s="127" t="s">
        <v>905</v>
      </c>
      <c r="D155" s="127" t="s">
        <v>906</v>
      </c>
      <c r="E155" s="127" t="s">
        <v>907</v>
      </c>
      <c r="F155" s="127" t="s">
        <v>908</v>
      </c>
      <c r="G155" s="127">
        <v>1</v>
      </c>
      <c r="H155" s="127" t="s">
        <v>515</v>
      </c>
      <c r="I155" s="128">
        <v>6400000</v>
      </c>
      <c r="J155" s="83"/>
      <c r="K155" s="83">
        <v>6400000</v>
      </c>
      <c r="L155" s="122"/>
      <c r="M155" s="83"/>
      <c r="N155" s="122"/>
      <c r="O155" s="83"/>
      <c r="P155" s="83"/>
      <c r="Q155" s="122"/>
      <c r="R155" s="122"/>
      <c r="S155" s="122"/>
      <c r="U155" s="123"/>
      <c r="V155" s="83"/>
      <c r="W155" s="122"/>
      <c r="X155" s="122"/>
      <c r="Y155" s="122"/>
      <c r="Z155" s="122"/>
      <c r="AA155" s="122"/>
      <c r="AB155" s="83"/>
      <c r="AC155" s="117">
        <f t="shared" si="26"/>
        <v>6400000</v>
      </c>
      <c r="AD155" s="117">
        <f t="shared" si="27"/>
        <v>0</v>
      </c>
    </row>
    <row r="156" spans="1:31">
      <c r="A156" s="66" t="s">
        <v>743</v>
      </c>
      <c r="B156" s="64" t="s">
        <v>278</v>
      </c>
      <c r="C156" s="64" t="s">
        <v>64</v>
      </c>
      <c r="D156" s="64" t="s">
        <v>65</v>
      </c>
      <c r="E156" s="64">
        <v>0</v>
      </c>
      <c r="F156" s="64">
        <v>8579898.7400000002</v>
      </c>
      <c r="G156" s="64">
        <v>8579898.7400000002</v>
      </c>
      <c r="H156" s="64" t="s">
        <v>55</v>
      </c>
      <c r="I156" s="81">
        <v>8579898.7400000002</v>
      </c>
      <c r="J156" s="64"/>
      <c r="K156" s="65">
        <v>8579898.7400000002</v>
      </c>
      <c r="L156" s="65"/>
      <c r="M156" s="64"/>
      <c r="N156" s="65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117">
        <f t="shared" si="26"/>
        <v>8579898.7400000002</v>
      </c>
      <c r="AD156" s="117">
        <f t="shared" si="27"/>
        <v>0</v>
      </c>
      <c r="AE156" s="66" t="s">
        <v>743</v>
      </c>
    </row>
    <row r="160" spans="1:31" s="46" customFormat="1" ht="13"/>
    <row r="163" spans="2:30" ht="39">
      <c r="B163" s="42" t="s">
        <v>15</v>
      </c>
      <c r="C163" s="43" t="s">
        <v>0</v>
      </c>
      <c r="D163" s="43" t="s">
        <v>1</v>
      </c>
      <c r="E163" s="44" t="s">
        <v>2</v>
      </c>
      <c r="F163" s="44" t="s">
        <v>3</v>
      </c>
      <c r="G163" s="45" t="s">
        <v>4</v>
      </c>
      <c r="H163" s="43" t="s">
        <v>16</v>
      </c>
      <c r="I163" s="43" t="s">
        <v>37</v>
      </c>
      <c r="J163" s="42" t="s">
        <v>17</v>
      </c>
      <c r="K163" s="42" t="s">
        <v>62</v>
      </c>
      <c r="L163" s="42" t="s">
        <v>18</v>
      </c>
      <c r="M163" s="45" t="s">
        <v>19</v>
      </c>
      <c r="N163" s="42" t="s">
        <v>20</v>
      </c>
      <c r="O163" s="42" t="s">
        <v>21</v>
      </c>
      <c r="P163" s="42" t="s">
        <v>22</v>
      </c>
      <c r="Q163" s="42" t="s">
        <v>23</v>
      </c>
      <c r="R163" s="43" t="s">
        <v>24</v>
      </c>
      <c r="S163" s="43" t="s">
        <v>25</v>
      </c>
      <c r="T163" s="43" t="s">
        <v>26</v>
      </c>
      <c r="U163" s="43" t="s">
        <v>27</v>
      </c>
      <c r="V163" s="43" t="s">
        <v>28</v>
      </c>
      <c r="W163" s="43" t="s">
        <v>29</v>
      </c>
      <c r="X163" s="43" t="s">
        <v>30</v>
      </c>
      <c r="Y163" s="43" t="s">
        <v>31</v>
      </c>
      <c r="Z163" s="43" t="s">
        <v>32</v>
      </c>
      <c r="AA163" s="43" t="s">
        <v>33</v>
      </c>
      <c r="AB163" s="43" t="s">
        <v>34</v>
      </c>
      <c r="AC163" s="43" t="s">
        <v>35</v>
      </c>
      <c r="AD163" s="43" t="s">
        <v>36</v>
      </c>
    </row>
  </sheetData>
  <autoFilter ref="A1:AD156"/>
  <sortState ref="A2:AD156">
    <sortCondition ref="I3:I156"/>
  </sortState>
  <pageMargins left="0.7" right="0.7" top="0.75" bottom="0.75" header="0.3" footer="0.3"/>
  <pageSetup scale="2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Нэгтгэл</vt:lpstr>
      <vt:lpstr>1</vt:lpstr>
      <vt:lpstr>2</vt:lpstr>
      <vt:lpstr>3</vt:lpstr>
      <vt:lpstr>4</vt:lpstr>
      <vt:lpstr>5</vt:lpstr>
      <vt:lpstr>6</vt:lpstr>
      <vt:lpstr>7</vt:lpstr>
      <vt:lpstr>8</vt:lpstr>
      <vt:lpstr>Sheet2</vt:lpstr>
      <vt:lpstr>9</vt:lpstr>
      <vt:lpstr>10</vt:lpstr>
      <vt:lpstr>11</vt:lpstr>
      <vt:lpstr>12</vt:lpstr>
      <vt:lpstr>Sheet10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ichinhorloo dorjhand</dc:creator>
  <cp:lastModifiedBy>User</cp:lastModifiedBy>
  <cp:lastPrinted>2025-09-13T04:46:58Z</cp:lastPrinted>
  <dcterms:created xsi:type="dcterms:W3CDTF">2025-09-10T10:12:49Z</dcterms:created>
  <dcterms:modified xsi:type="dcterms:W3CDTF">2026-06-02T04:52:46Z</dcterms:modified>
</cp:coreProperties>
</file>